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0A9899C6-C205-FE42-9C19-FE8ED38A895F}" xr6:coauthVersionLast="47" xr6:coauthVersionMax="47" xr10:uidLastSave="{00000000-0000-0000-0000-000000000000}"/>
  <bookViews>
    <workbookView xWindow="0" yWindow="500" windowWidth="14500" windowHeight="168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4" i="4"/>
  <c r="AZ6" i="4"/>
  <c r="AZ7" i="4" s="1"/>
  <c r="AZ5" i="4"/>
  <c r="AZ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4" i="4"/>
  <c r="H24" i="4"/>
  <c r="F24" i="4"/>
  <c r="I6" i="4"/>
  <c r="AV6" i="4" s="1"/>
  <c r="I5" i="4"/>
  <c r="AV5" i="4" s="1"/>
  <c r="AZ8" i="4" l="1"/>
  <c r="I7" i="4"/>
  <c r="AV7" i="4" s="1"/>
  <c r="AV4" i="4"/>
  <c r="I8" i="4" l="1"/>
  <c r="AZ9" i="4"/>
  <c r="I9" i="4" l="1"/>
  <c r="AV9" i="4" s="1"/>
  <c r="AZ10" i="4"/>
  <c r="AV8" i="4"/>
  <c r="I10" i="4" l="1"/>
  <c r="AV10" i="4" s="1"/>
  <c r="AZ11" i="4"/>
  <c r="AZ12" i="4" l="1"/>
  <c r="I11" i="4"/>
  <c r="AV11" i="4" l="1"/>
  <c r="I12" i="4"/>
  <c r="AV12" i="4" s="1"/>
  <c r="AZ13" i="4"/>
  <c r="AZ14" i="4" l="1"/>
  <c r="I13" i="4"/>
  <c r="AV13" i="4" s="1"/>
  <c r="AZ15" i="4" l="1"/>
  <c r="I14" i="4"/>
  <c r="AV14" i="4" l="1"/>
  <c r="AZ16" i="4"/>
  <c r="I15" i="4"/>
  <c r="AV15" i="4" s="1"/>
  <c r="I16" i="4" l="1"/>
  <c r="AV16" i="4" s="1"/>
  <c r="AZ17" i="4"/>
  <c r="I17" i="4" l="1"/>
  <c r="AV17" i="4" s="1"/>
  <c r="AZ18" i="4"/>
  <c r="AZ19" i="4" l="1"/>
  <c r="I18" i="4"/>
  <c r="AV18" i="4" s="1"/>
  <c r="AZ20" i="4" l="1"/>
  <c r="I19" i="4"/>
  <c r="AV19" i="4" s="1"/>
  <c r="I20" i="4" l="1"/>
  <c r="AV20" i="4" s="1"/>
  <c r="AZ21" i="4"/>
  <c r="AZ22" i="4" l="1"/>
  <c r="I21" i="4"/>
  <c r="AV21" i="4" s="1"/>
  <c r="AZ23" i="4" l="1"/>
  <c r="I23" i="4" s="1"/>
  <c r="I22" i="4"/>
  <c r="AV22" i="4" s="1"/>
  <c r="AV23" i="4" l="1"/>
  <c r="AV24" i="4" s="1"/>
  <c r="I24" i="4"/>
</calcChain>
</file>

<file path=xl/sharedStrings.xml><?xml version="1.0" encoding="utf-8"?>
<sst xmlns="http://schemas.openxmlformats.org/spreadsheetml/2006/main" count="67" uniqueCount="30">
  <si>
    <t>NO</t>
  </si>
  <si>
    <t>URAIAN PEKERJAAN</t>
  </si>
  <si>
    <t>KODE</t>
  </si>
  <si>
    <t>DP + Marking 1</t>
  </si>
  <si>
    <t>Marking 2</t>
  </si>
  <si>
    <t>BOBOT</t>
  </si>
  <si>
    <t>NILAI</t>
  </si>
  <si>
    <t>UNIT</t>
  </si>
  <si>
    <t>SEPTEMBER</t>
  </si>
  <si>
    <t>OKTOBER</t>
  </si>
  <si>
    <t>LT 2 (Parsial 1)</t>
  </si>
  <si>
    <t>TOTAL %</t>
  </si>
  <si>
    <t>PN5</t>
  </si>
  <si>
    <t>uk.2330 x 3000 (kiri) (R. Klinik Jantung dan ECHO)</t>
  </si>
  <si>
    <t>uk. 1980 x 3000 (kanan) (R. Klinik Jantung dan ECHO)</t>
  </si>
  <si>
    <t>BD 1 (R. Klinik Jantung dan ECHO)</t>
  </si>
  <si>
    <t>BD 2 (R. Klinik Jantung dan ECHO)</t>
  </si>
  <si>
    <t>BD 3 (R. Klinik Jantung dan ECHO) Klinik 1</t>
  </si>
  <si>
    <t>uk. 2970 x 3000 (R. Klinik Jantung dan ECHO) Klinik 1</t>
  </si>
  <si>
    <t>Panel  Dinding Ruang Klinik EEG/3</t>
  </si>
  <si>
    <t>uk.4030x3000mm (1 UNIT) (R. Klinik gigi)</t>
  </si>
  <si>
    <t>Panel  Ruang tindakan</t>
  </si>
  <si>
    <t xml:space="preserve">Panel  Dinding Ruang Klinik   </t>
  </si>
  <si>
    <t xml:space="preserve">Panel  Dinding Ruang Klinik  </t>
  </si>
  <si>
    <t>uk.3950x3000mm  (R. Klinik gigi)</t>
  </si>
  <si>
    <t xml:space="preserve">Panel  Dinding Ruang Klinik orthopedi </t>
  </si>
  <si>
    <t>Panel  Ruang Klinik THT Kanan</t>
  </si>
  <si>
    <t>Panel  Ruang Klinik THT kiri</t>
  </si>
  <si>
    <t>HARGA</t>
  </si>
  <si>
    <t>VOLUM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</si>
</sst>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theme="1"/>
      <name val="Arial (Body)"/>
    </font>
    <font>
      <sz val="8"/>
      <color rgb="FFFFFFFF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8"/>
      <color theme="1"/>
      <name val="Arial (Body)"/>
    </font>
    <font>
      <sz val="8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5D9F1"/>
        <bgColor rgb="FFC5D9F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7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3" borderId="0" xfId="0" applyFont="1" applyFill="1" applyAlignment="1">
      <alignment horizontal="left"/>
    </xf>
    <xf numFmtId="2" fontId="1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1" fillId="3" borderId="3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8" fillId="0" borderId="2" xfId="0" applyFont="1" applyBorder="1"/>
    <xf numFmtId="3" fontId="6" fillId="0" borderId="2" xfId="0" applyNumberFormat="1" applyFont="1" applyBorder="1" applyAlignment="1">
      <alignment horizontal="center"/>
    </xf>
    <xf numFmtId="0" fontId="3" fillId="8" borderId="2" xfId="0" applyFont="1" applyFill="1" applyBorder="1"/>
    <xf numFmtId="0" fontId="1" fillId="2" borderId="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5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left"/>
    </xf>
    <xf numFmtId="0" fontId="10" fillId="6" borderId="6" xfId="0" applyFont="1" applyFill="1" applyBorder="1" applyAlignment="1">
      <alignment horizontal="left"/>
    </xf>
    <xf numFmtId="0" fontId="11" fillId="0" borderId="6" xfId="0" applyFont="1" applyBorder="1" applyAlignment="1">
      <alignment horizontal="left"/>
    </xf>
    <xf numFmtId="3" fontId="11" fillId="0" borderId="6" xfId="0" applyNumberFormat="1" applyFont="1" applyBorder="1" applyAlignment="1">
      <alignment horizontal="right"/>
    </xf>
    <xf numFmtId="0" fontId="3" fillId="7" borderId="6" xfId="0" applyFont="1" applyFill="1" applyBorder="1" applyAlignment="1">
      <alignment horizontal="left"/>
    </xf>
    <xf numFmtId="2" fontId="1" fillId="0" borderId="6" xfId="0" applyNumberFormat="1" applyFont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8" fillId="0" borderId="7" xfId="0" applyFont="1" applyBorder="1"/>
    <xf numFmtId="0" fontId="1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1" fillId="4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2" borderId="0" xfId="0" applyNumberFormat="1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3" fontId="2" fillId="0" borderId="0" xfId="0" applyNumberFormat="1" applyFont="1"/>
    <xf numFmtId="0" fontId="3" fillId="8" borderId="0" xfId="0" applyFont="1" applyFill="1"/>
    <xf numFmtId="2" fontId="1" fillId="3" borderId="0" xfId="0" applyNumberFormat="1" applyFont="1" applyFill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606B-38AC-3744-8C64-E5F292EE14B0}">
  <dimension ref="A1:BB490"/>
  <sheetViews>
    <sheetView tabSelected="1" topLeftCell="C1" zoomScaleNormal="100" workbookViewId="0">
      <selection activeCell="I4" sqref="I4"/>
    </sheetView>
  </sheetViews>
  <sheetFormatPr baseColWidth="10" defaultColWidth="12.6640625" defaultRowHeight="11" x14ac:dyDescent="0.15"/>
  <cols>
    <col min="1" max="1" width="8.5" style="12" customWidth="1"/>
    <col min="2" max="2" width="3.33203125" style="12" customWidth="1"/>
    <col min="3" max="3" width="4.1640625" style="12" customWidth="1"/>
    <col min="4" max="4" width="25.5" style="12" customWidth="1"/>
    <col min="5" max="5" width="5" style="12" customWidth="1"/>
    <col min="6" max="6" width="7" style="12" customWidth="1"/>
    <col min="7" max="7" width="9" style="51" customWidth="1"/>
    <col min="8" max="8" width="5" style="52" customWidth="1"/>
    <col min="9" max="9" width="6.5" style="12" customWidth="1"/>
    <col min="10" max="46" width="2.33203125" style="12" customWidth="1"/>
    <col min="47" max="47" width="3.6640625" style="12" customWidth="1"/>
    <col min="48" max="48" width="4.83203125" style="12" customWidth="1"/>
    <col min="49" max="51" width="3.6640625" style="12" customWidth="1"/>
    <col min="52" max="52" width="3.6640625" style="55" customWidth="1"/>
    <col min="53" max="54" width="3.6640625" style="12" customWidth="1"/>
    <col min="55" max="16384" width="12.6640625" style="12"/>
  </cols>
  <sheetData>
    <row r="1" spans="1:54" ht="15.75" customHeight="1" x14ac:dyDescent="0.15">
      <c r="A1" s="1"/>
      <c r="B1" s="1"/>
      <c r="C1" s="2"/>
      <c r="D1" s="1"/>
      <c r="E1" s="1"/>
      <c r="F1" s="3"/>
      <c r="G1" s="4"/>
      <c r="H1" s="5"/>
      <c r="I1" s="6"/>
      <c r="J1" s="7" t="s">
        <v>3</v>
      </c>
      <c r="K1" s="8"/>
      <c r="L1" s="8"/>
      <c r="M1" s="8"/>
      <c r="N1" s="8"/>
      <c r="O1" s="9" t="s">
        <v>4</v>
      </c>
      <c r="P1" s="8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0"/>
      <c r="AY1" s="1"/>
      <c r="AZ1" s="1"/>
      <c r="BA1" s="11"/>
      <c r="BB1" s="11"/>
    </row>
    <row r="2" spans="1:54" ht="15.75" customHeight="1" x14ac:dyDescent="0.15">
      <c r="A2" s="1"/>
      <c r="B2" s="1"/>
      <c r="C2" s="13" t="s">
        <v>0</v>
      </c>
      <c r="D2" s="14" t="s">
        <v>1</v>
      </c>
      <c r="E2" s="14" t="s">
        <v>2</v>
      </c>
      <c r="F2" s="15" t="s">
        <v>29</v>
      </c>
      <c r="G2" s="16" t="s">
        <v>28</v>
      </c>
      <c r="H2" s="17" t="s">
        <v>6</v>
      </c>
      <c r="I2" s="18" t="s">
        <v>5</v>
      </c>
      <c r="J2" s="19" t="s">
        <v>8</v>
      </c>
      <c r="K2" s="20"/>
      <c r="L2" s="20"/>
      <c r="M2" s="20"/>
      <c r="N2" s="20"/>
      <c r="O2" s="21"/>
      <c r="P2" s="22" t="s">
        <v>9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1"/>
      <c r="AU2" s="1"/>
      <c r="AV2" s="1"/>
      <c r="AW2" s="1"/>
      <c r="AX2" s="10"/>
      <c r="AY2" s="1"/>
      <c r="AZ2" s="1"/>
      <c r="BA2" s="11"/>
      <c r="BB2" s="11"/>
    </row>
    <row r="3" spans="1:54" ht="15.75" customHeight="1" x14ac:dyDescent="0.15">
      <c r="A3" s="1"/>
      <c r="B3" s="23" t="s">
        <v>7</v>
      </c>
      <c r="C3" s="24"/>
      <c r="D3" s="24"/>
      <c r="E3" s="24"/>
      <c r="F3" s="24"/>
      <c r="G3" s="25"/>
      <c r="H3" s="26"/>
      <c r="I3" s="24"/>
      <c r="J3" s="27">
        <v>25</v>
      </c>
      <c r="K3" s="27">
        <v>26</v>
      </c>
      <c r="L3" s="27">
        <v>27</v>
      </c>
      <c r="M3" s="27">
        <v>28</v>
      </c>
      <c r="N3" s="27">
        <v>29</v>
      </c>
      <c r="O3" s="28">
        <v>30</v>
      </c>
      <c r="P3" s="28">
        <v>1</v>
      </c>
      <c r="Q3" s="28">
        <v>2</v>
      </c>
      <c r="R3" s="29">
        <v>3</v>
      </c>
      <c r="S3" s="29">
        <v>4</v>
      </c>
      <c r="T3" s="29">
        <v>5</v>
      </c>
      <c r="U3" s="29">
        <v>6</v>
      </c>
      <c r="V3" s="29">
        <v>7</v>
      </c>
      <c r="W3" s="29">
        <v>8</v>
      </c>
      <c r="X3" s="29">
        <v>9</v>
      </c>
      <c r="Y3" s="29">
        <v>10</v>
      </c>
      <c r="Z3" s="29">
        <v>11</v>
      </c>
      <c r="AA3" s="29">
        <v>12</v>
      </c>
      <c r="AB3" s="29">
        <v>13</v>
      </c>
      <c r="AC3" s="29">
        <v>14</v>
      </c>
      <c r="AD3" s="29">
        <v>15</v>
      </c>
      <c r="AE3" s="29">
        <v>16</v>
      </c>
      <c r="AF3" s="29">
        <v>17</v>
      </c>
      <c r="AG3" s="29">
        <v>18</v>
      </c>
      <c r="AH3" s="29">
        <v>19</v>
      </c>
      <c r="AI3" s="29">
        <v>20</v>
      </c>
      <c r="AJ3" s="29">
        <v>21</v>
      </c>
      <c r="AK3" s="29">
        <v>22</v>
      </c>
      <c r="AL3" s="29">
        <v>23</v>
      </c>
      <c r="AM3" s="29">
        <v>24</v>
      </c>
      <c r="AN3" s="29">
        <v>25</v>
      </c>
      <c r="AO3" s="29">
        <v>26</v>
      </c>
      <c r="AP3" s="29">
        <v>27</v>
      </c>
      <c r="AQ3" s="29">
        <v>28</v>
      </c>
      <c r="AR3" s="29">
        <v>29</v>
      </c>
      <c r="AS3" s="29">
        <v>30</v>
      </c>
      <c r="AT3" s="29">
        <v>31</v>
      </c>
      <c r="AU3" s="1"/>
      <c r="AV3" s="1"/>
      <c r="AW3" s="1"/>
      <c r="AX3" s="10"/>
      <c r="AY3" s="1"/>
      <c r="AZ3" s="1"/>
      <c r="BA3" s="11"/>
      <c r="BB3" s="11"/>
    </row>
    <row r="4" spans="1:54" x14ac:dyDescent="0.15">
      <c r="A4" s="30" t="s">
        <v>10</v>
      </c>
      <c r="B4" s="1"/>
      <c r="C4" s="31">
        <v>9</v>
      </c>
      <c r="D4" s="32" t="s">
        <v>22</v>
      </c>
      <c r="E4" s="33" t="s">
        <v>12</v>
      </c>
      <c r="F4" s="34">
        <v>9.36</v>
      </c>
      <c r="G4" s="35">
        <f>H4*1000000</f>
        <v>15000000</v>
      </c>
      <c r="H4" s="36">
        <v>15</v>
      </c>
      <c r="I4" s="37">
        <f>H4/AZ4</f>
        <v>4.7801147227533471</v>
      </c>
      <c r="J4" s="27"/>
      <c r="K4" s="27"/>
      <c r="L4" s="27"/>
      <c r="M4" s="27"/>
      <c r="N4" s="27"/>
      <c r="O4" s="28"/>
      <c r="P4" s="28"/>
      <c r="Q4" s="38"/>
      <c r="R4" s="38"/>
      <c r="S4" s="38"/>
      <c r="T4" s="38"/>
      <c r="U4" s="39"/>
      <c r="V4" s="39"/>
      <c r="W4" s="39"/>
      <c r="X4" s="39">
        <v>0</v>
      </c>
      <c r="Y4" s="39"/>
      <c r="Z4" s="39"/>
      <c r="AA4" s="39"/>
      <c r="AB4" s="39"/>
      <c r="AC4" s="39">
        <v>30</v>
      </c>
      <c r="AD4" s="39"/>
      <c r="AE4" s="39"/>
      <c r="AF4" s="39"/>
      <c r="AG4" s="39"/>
      <c r="AH4" s="39"/>
      <c r="AI4" s="38">
        <v>50</v>
      </c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1">
        <f>SUM(P4:AT4)</f>
        <v>80</v>
      </c>
      <c r="AV4" s="6">
        <f>SUM(Q4:AT4)*I4/100</f>
        <v>3.8240917782026775</v>
      </c>
      <c r="AW4" s="1"/>
      <c r="AX4" s="10"/>
      <c r="AY4" s="1"/>
      <c r="AZ4" s="1">
        <f>H24/100</f>
        <v>3.1379999999999995</v>
      </c>
      <c r="BA4" s="11"/>
      <c r="BB4" s="11"/>
    </row>
    <row r="5" spans="1:54" x14ac:dyDescent="0.15">
      <c r="A5" s="8"/>
      <c r="B5" s="1"/>
      <c r="C5" s="40"/>
      <c r="D5" s="32" t="s">
        <v>23</v>
      </c>
      <c r="E5" s="33" t="s">
        <v>12</v>
      </c>
      <c r="F5" s="34">
        <v>11.7</v>
      </c>
      <c r="G5" s="35">
        <f t="shared" ref="G5:G23" si="0">H5*1000000</f>
        <v>18700000</v>
      </c>
      <c r="H5" s="36">
        <v>18.7</v>
      </c>
      <c r="I5" s="37">
        <f>H5/AZ5</f>
        <v>5.9592096876991718</v>
      </c>
      <c r="J5" s="27"/>
      <c r="K5" s="27"/>
      <c r="L5" s="27"/>
      <c r="M5" s="27"/>
      <c r="N5" s="27"/>
      <c r="O5" s="28"/>
      <c r="P5" s="28"/>
      <c r="Q5" s="38"/>
      <c r="R5" s="38"/>
      <c r="S5" s="38"/>
      <c r="T5" s="38"/>
      <c r="U5" s="39"/>
      <c r="V5" s="39"/>
      <c r="W5" s="39"/>
      <c r="X5" s="39">
        <v>0</v>
      </c>
      <c r="Y5" s="39"/>
      <c r="Z5" s="39"/>
      <c r="AA5" s="39"/>
      <c r="AB5" s="39"/>
      <c r="AC5" s="39">
        <v>30</v>
      </c>
      <c r="AD5" s="39"/>
      <c r="AE5" s="39"/>
      <c r="AF5" s="39"/>
      <c r="AG5" s="39"/>
      <c r="AH5" s="39"/>
      <c r="AI5" s="38">
        <v>50</v>
      </c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1">
        <f t="shared" ref="AU5:AU23" si="1">SUM(P5:AT5)</f>
        <v>80</v>
      </c>
      <c r="AV5" s="6">
        <f>SUM(Q5:AT5)*I5/100</f>
        <v>4.7673677501593374</v>
      </c>
      <c r="AW5" s="1"/>
      <c r="AX5" s="10"/>
      <c r="AY5" s="1"/>
      <c r="AZ5" s="1">
        <f>AZ4</f>
        <v>3.1379999999999995</v>
      </c>
      <c r="BA5" s="11"/>
      <c r="BB5" s="11"/>
    </row>
    <row r="6" spans="1:54" x14ac:dyDescent="0.15">
      <c r="A6" s="8"/>
      <c r="B6" s="41"/>
      <c r="C6" s="24"/>
      <c r="D6" s="32" t="s">
        <v>22</v>
      </c>
      <c r="E6" s="33" t="s">
        <v>12</v>
      </c>
      <c r="F6" s="34">
        <v>11.7</v>
      </c>
      <c r="G6" s="35">
        <f t="shared" si="0"/>
        <v>18700000</v>
      </c>
      <c r="H6" s="36">
        <v>18.7</v>
      </c>
      <c r="I6" s="37">
        <f>H6/AZ6</f>
        <v>5.9592096876991718</v>
      </c>
      <c r="J6" s="27"/>
      <c r="K6" s="27"/>
      <c r="L6" s="27"/>
      <c r="M6" s="27"/>
      <c r="N6" s="27"/>
      <c r="O6" s="28"/>
      <c r="P6" s="28"/>
      <c r="Q6" s="38"/>
      <c r="R6" s="38"/>
      <c r="S6" s="38"/>
      <c r="T6" s="38"/>
      <c r="U6" s="39"/>
      <c r="V6" s="39"/>
      <c r="W6" s="39"/>
      <c r="X6" s="39">
        <v>0</v>
      </c>
      <c r="Y6" s="39"/>
      <c r="Z6" s="39"/>
      <c r="AA6" s="39"/>
      <c r="AB6" s="39"/>
      <c r="AC6" s="39">
        <v>30</v>
      </c>
      <c r="AD6" s="39"/>
      <c r="AE6" s="39"/>
      <c r="AF6" s="39"/>
      <c r="AG6" s="39"/>
      <c r="AH6" s="39"/>
      <c r="AI6" s="38">
        <v>50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1">
        <f t="shared" si="1"/>
        <v>80</v>
      </c>
      <c r="AV6" s="6">
        <f>SUM(Q6:AT6)*I6/100</f>
        <v>4.7673677501593374</v>
      </c>
      <c r="AW6" s="1"/>
      <c r="AX6" s="10"/>
      <c r="AY6" s="1"/>
      <c r="AZ6" s="1">
        <f t="shared" ref="AZ6:AZ23" si="2">AZ5</f>
        <v>3.1379999999999995</v>
      </c>
      <c r="BA6" s="11"/>
      <c r="BB6" s="11"/>
    </row>
    <row r="7" spans="1:54" x14ac:dyDescent="0.15">
      <c r="A7" s="30" t="s">
        <v>10</v>
      </c>
      <c r="B7" s="1"/>
      <c r="C7" s="42">
        <v>11</v>
      </c>
      <c r="D7" s="32" t="s">
        <v>23</v>
      </c>
      <c r="E7" s="33" t="s">
        <v>12</v>
      </c>
      <c r="F7" s="34">
        <v>8.1</v>
      </c>
      <c r="G7" s="35">
        <f t="shared" si="0"/>
        <v>13000000</v>
      </c>
      <c r="H7" s="36">
        <v>13</v>
      </c>
      <c r="I7" s="37">
        <f>H7/AZ7</f>
        <v>4.1427660930529004</v>
      </c>
      <c r="J7" s="27"/>
      <c r="K7" s="27"/>
      <c r="L7" s="27"/>
      <c r="M7" s="27"/>
      <c r="N7" s="27"/>
      <c r="O7" s="28"/>
      <c r="P7" s="28"/>
      <c r="Q7" s="28"/>
      <c r="R7" s="38"/>
      <c r="S7" s="38"/>
      <c r="T7" s="38"/>
      <c r="U7" s="38"/>
      <c r="V7" s="39"/>
      <c r="W7" s="39"/>
      <c r="X7" s="39">
        <v>0</v>
      </c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>
        <v>70</v>
      </c>
      <c r="AJ7" s="39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1">
        <f t="shared" si="1"/>
        <v>70</v>
      </c>
      <c r="AV7" s="6">
        <f>SUM(Q7:AT7)*I7/100</f>
        <v>2.8999362651370304</v>
      </c>
      <c r="AW7" s="1"/>
      <c r="AX7" s="10"/>
      <c r="AY7" s="1"/>
      <c r="AZ7" s="1">
        <f t="shared" si="2"/>
        <v>3.1379999999999995</v>
      </c>
      <c r="BA7" s="11"/>
      <c r="BB7" s="11"/>
    </row>
    <row r="8" spans="1:54" x14ac:dyDescent="0.15">
      <c r="A8" s="8"/>
      <c r="B8" s="1"/>
      <c r="C8" s="24"/>
      <c r="D8" s="32" t="s">
        <v>23</v>
      </c>
      <c r="E8" s="33" t="s">
        <v>12</v>
      </c>
      <c r="F8" s="34">
        <v>6.9</v>
      </c>
      <c r="G8" s="35">
        <f t="shared" si="0"/>
        <v>11000000</v>
      </c>
      <c r="H8" s="36">
        <v>11</v>
      </c>
      <c r="I8" s="37">
        <f>H8/AZ8</f>
        <v>3.5054174633524542</v>
      </c>
      <c r="J8" s="27"/>
      <c r="K8" s="27"/>
      <c r="L8" s="27"/>
      <c r="M8" s="27"/>
      <c r="N8" s="27"/>
      <c r="O8" s="28"/>
      <c r="P8" s="28"/>
      <c r="Q8" s="28"/>
      <c r="R8" s="38"/>
      <c r="S8" s="38"/>
      <c r="T8" s="38"/>
      <c r="U8" s="38"/>
      <c r="V8" s="39"/>
      <c r="W8" s="39"/>
      <c r="X8" s="39">
        <v>80</v>
      </c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>
        <v>20</v>
      </c>
      <c r="AJ8" s="39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1">
        <f t="shared" si="1"/>
        <v>100</v>
      </c>
      <c r="AV8" s="6">
        <f>SUM(Q8:AT8)*I8/100</f>
        <v>3.5054174633524542</v>
      </c>
      <c r="AW8" s="1"/>
      <c r="AX8" s="10"/>
      <c r="AY8" s="1"/>
      <c r="AZ8" s="1">
        <f t="shared" si="2"/>
        <v>3.1379999999999995</v>
      </c>
      <c r="BA8" s="11"/>
      <c r="BB8" s="11"/>
    </row>
    <row r="9" spans="1:54" x14ac:dyDescent="0.15">
      <c r="A9" s="43" t="s">
        <v>10</v>
      </c>
      <c r="B9" s="1"/>
      <c r="C9" s="31">
        <v>10</v>
      </c>
      <c r="D9" s="32" t="s">
        <v>13</v>
      </c>
      <c r="E9" s="33" t="s">
        <v>12</v>
      </c>
      <c r="F9" s="34">
        <v>6.78</v>
      </c>
      <c r="G9" s="35">
        <f t="shared" si="0"/>
        <v>10800000</v>
      </c>
      <c r="H9" s="36">
        <v>10.8</v>
      </c>
      <c r="I9" s="37">
        <f>H9/AZ9</f>
        <v>3.4416826003824101</v>
      </c>
      <c r="J9" s="27"/>
      <c r="K9" s="27"/>
      <c r="L9" s="27"/>
      <c r="M9" s="27"/>
      <c r="N9" s="27"/>
      <c r="O9" s="28"/>
      <c r="P9" s="28"/>
      <c r="Q9" s="28"/>
      <c r="R9" s="39"/>
      <c r="S9" s="38"/>
      <c r="T9" s="38"/>
      <c r="U9" s="38"/>
      <c r="V9" s="38"/>
      <c r="W9" s="39"/>
      <c r="X9" s="39">
        <v>0</v>
      </c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>
        <v>50</v>
      </c>
      <c r="AJ9" s="39"/>
      <c r="AK9" s="39"/>
      <c r="AL9" s="39"/>
      <c r="AM9" s="38"/>
      <c r="AN9" s="38"/>
      <c r="AO9" s="38"/>
      <c r="AP9" s="38"/>
      <c r="AQ9" s="38"/>
      <c r="AR9" s="38"/>
      <c r="AS9" s="38"/>
      <c r="AT9" s="38"/>
      <c r="AU9" s="1">
        <f t="shared" si="1"/>
        <v>50</v>
      </c>
      <c r="AV9" s="6">
        <f>SUM(Q9:AT9)*I9/100</f>
        <v>1.7208413001912048</v>
      </c>
      <c r="AW9" s="1"/>
      <c r="AX9" s="10"/>
      <c r="AY9" s="1"/>
      <c r="AZ9" s="1">
        <f t="shared" si="2"/>
        <v>3.1379999999999995</v>
      </c>
      <c r="BA9" s="11"/>
      <c r="BB9" s="11"/>
    </row>
    <row r="10" spans="1:54" x14ac:dyDescent="0.15">
      <c r="A10" s="43" t="s">
        <v>10</v>
      </c>
      <c r="B10" s="1"/>
      <c r="C10" s="40"/>
      <c r="D10" s="32" t="s">
        <v>14</v>
      </c>
      <c r="E10" s="33" t="s">
        <v>12</v>
      </c>
      <c r="F10" s="34">
        <v>11.34</v>
      </c>
      <c r="G10" s="35">
        <f t="shared" si="0"/>
        <v>18100000</v>
      </c>
      <c r="H10" s="36">
        <v>18.100000000000001</v>
      </c>
      <c r="I10" s="37">
        <f>H10/AZ10</f>
        <v>5.7680050987890388</v>
      </c>
      <c r="J10" s="27"/>
      <c r="K10" s="27"/>
      <c r="L10" s="27"/>
      <c r="M10" s="27"/>
      <c r="N10" s="27"/>
      <c r="O10" s="28"/>
      <c r="P10" s="28"/>
      <c r="Q10" s="28"/>
      <c r="R10" s="39"/>
      <c r="S10" s="39"/>
      <c r="T10" s="38"/>
      <c r="U10" s="38"/>
      <c r="V10" s="38"/>
      <c r="W10" s="38"/>
      <c r="X10" s="39">
        <v>0</v>
      </c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>
        <v>50</v>
      </c>
      <c r="AJ10" s="39"/>
      <c r="AK10" s="39"/>
      <c r="AL10" s="39"/>
      <c r="AM10" s="39"/>
      <c r="AN10" s="39"/>
      <c r="AO10" s="38"/>
      <c r="AP10" s="38"/>
      <c r="AQ10" s="38"/>
      <c r="AR10" s="38"/>
      <c r="AS10" s="38"/>
      <c r="AT10" s="38"/>
      <c r="AU10" s="1">
        <f t="shared" si="1"/>
        <v>50</v>
      </c>
      <c r="AV10" s="6">
        <f>SUM(Q10:AT10)*I10/100</f>
        <v>2.8840025493945194</v>
      </c>
      <c r="AW10" s="1"/>
      <c r="AX10" s="10"/>
      <c r="AY10" s="1"/>
      <c r="AZ10" s="1">
        <f t="shared" si="2"/>
        <v>3.1379999999999995</v>
      </c>
      <c r="BA10" s="11"/>
      <c r="BB10" s="11"/>
    </row>
    <row r="11" spans="1:54" x14ac:dyDescent="0.15">
      <c r="A11" s="43" t="s">
        <v>10</v>
      </c>
      <c r="B11" s="1"/>
      <c r="C11" s="40"/>
      <c r="D11" s="32" t="s">
        <v>15</v>
      </c>
      <c r="E11" s="33" t="s">
        <v>12</v>
      </c>
      <c r="F11" s="34">
        <v>6.99</v>
      </c>
      <c r="G11" s="35">
        <f t="shared" si="0"/>
        <v>11200000</v>
      </c>
      <c r="H11" s="36">
        <v>11.2</v>
      </c>
      <c r="I11" s="37">
        <f>H11/AZ11</f>
        <v>3.5691523263224987</v>
      </c>
      <c r="J11" s="27"/>
      <c r="K11" s="27"/>
      <c r="L11" s="27"/>
      <c r="M11" s="27"/>
      <c r="N11" s="27"/>
      <c r="O11" s="28"/>
      <c r="P11" s="28"/>
      <c r="Q11" s="28"/>
      <c r="R11" s="39"/>
      <c r="S11" s="39"/>
      <c r="T11" s="39"/>
      <c r="U11" s="39"/>
      <c r="V11" s="38"/>
      <c r="W11" s="38"/>
      <c r="X11" s="38">
        <v>0</v>
      </c>
      <c r="Y11" s="38"/>
      <c r="Z11" s="39"/>
      <c r="AA11" s="39"/>
      <c r="AB11" s="39"/>
      <c r="AC11" s="39">
        <v>30</v>
      </c>
      <c r="AD11" s="39"/>
      <c r="AE11" s="39"/>
      <c r="AF11" s="39"/>
      <c r="AG11" s="39"/>
      <c r="AH11" s="39"/>
      <c r="AI11" s="39">
        <v>30</v>
      </c>
      <c r="AJ11" s="39"/>
      <c r="AK11" s="39"/>
      <c r="AL11" s="39"/>
      <c r="AM11" s="39"/>
      <c r="AN11" s="39"/>
      <c r="AO11" s="39"/>
      <c r="AP11" s="39"/>
      <c r="AQ11" s="39"/>
      <c r="AR11" s="39"/>
      <c r="AS11" s="38"/>
      <c r="AT11" s="38"/>
      <c r="AU11" s="1">
        <f t="shared" si="1"/>
        <v>60</v>
      </c>
      <c r="AV11" s="6">
        <f>SUM(Q11:AT11)*I11/100</f>
        <v>2.1414913957934996</v>
      </c>
      <c r="AW11" s="1"/>
      <c r="AX11" s="10"/>
      <c r="AY11" s="1"/>
      <c r="AZ11" s="1">
        <f t="shared" si="2"/>
        <v>3.1379999999999995</v>
      </c>
      <c r="BA11" s="11"/>
      <c r="BB11" s="11"/>
    </row>
    <row r="12" spans="1:54" x14ac:dyDescent="0.15">
      <c r="A12" s="43" t="s">
        <v>10</v>
      </c>
      <c r="B12" s="1"/>
      <c r="C12" s="40"/>
      <c r="D12" s="32" t="s">
        <v>16</v>
      </c>
      <c r="E12" s="33" t="s">
        <v>12</v>
      </c>
      <c r="F12" s="34">
        <v>5.94</v>
      </c>
      <c r="G12" s="35">
        <f t="shared" si="0"/>
        <v>9500000</v>
      </c>
      <c r="H12" s="36">
        <v>9.5</v>
      </c>
      <c r="I12" s="37">
        <f>H12/AZ12</f>
        <v>3.0274059910771198</v>
      </c>
      <c r="J12" s="27"/>
      <c r="K12" s="27"/>
      <c r="L12" s="27"/>
      <c r="M12" s="27"/>
      <c r="N12" s="27"/>
      <c r="O12" s="28"/>
      <c r="P12" s="28"/>
      <c r="Q12" s="28"/>
      <c r="R12" s="39"/>
      <c r="S12" s="39"/>
      <c r="T12" s="39"/>
      <c r="U12" s="39"/>
      <c r="V12" s="38"/>
      <c r="W12" s="38"/>
      <c r="X12" s="38">
        <v>0</v>
      </c>
      <c r="Y12" s="38"/>
      <c r="Z12" s="39"/>
      <c r="AA12" s="39"/>
      <c r="AB12" s="39"/>
      <c r="AC12" s="39">
        <v>30</v>
      </c>
      <c r="AD12" s="39"/>
      <c r="AE12" s="39"/>
      <c r="AF12" s="39"/>
      <c r="AG12" s="39"/>
      <c r="AH12" s="39"/>
      <c r="AI12" s="39">
        <v>30</v>
      </c>
      <c r="AJ12" s="39"/>
      <c r="AK12" s="39"/>
      <c r="AL12" s="39"/>
      <c r="AM12" s="39"/>
      <c r="AN12" s="39"/>
      <c r="AO12" s="39"/>
      <c r="AP12" s="39"/>
      <c r="AQ12" s="39"/>
      <c r="AR12" s="39"/>
      <c r="AS12" s="38"/>
      <c r="AT12" s="38"/>
      <c r="AU12" s="1">
        <f t="shared" si="1"/>
        <v>60</v>
      </c>
      <c r="AV12" s="6">
        <f>SUM(Q12:AT12)*I12/100</f>
        <v>1.816443594646272</v>
      </c>
      <c r="AW12" s="1"/>
      <c r="AX12" s="10"/>
      <c r="AY12" s="1"/>
      <c r="AZ12" s="1">
        <f t="shared" si="2"/>
        <v>3.1379999999999995</v>
      </c>
      <c r="BA12" s="11"/>
      <c r="BB12" s="11"/>
    </row>
    <row r="13" spans="1:54" x14ac:dyDescent="0.15">
      <c r="A13" s="43" t="s">
        <v>10</v>
      </c>
      <c r="B13" s="1"/>
      <c r="C13" s="40"/>
      <c r="D13" s="32" t="s">
        <v>17</v>
      </c>
      <c r="E13" s="33" t="s">
        <v>12</v>
      </c>
      <c r="F13" s="34">
        <v>8.91</v>
      </c>
      <c r="G13" s="35">
        <f t="shared" si="0"/>
        <v>14200000</v>
      </c>
      <c r="H13" s="36">
        <v>14.2</v>
      </c>
      <c r="I13" s="37">
        <f>H13/AZ13</f>
        <v>4.5251752708731683</v>
      </c>
      <c r="J13" s="27"/>
      <c r="K13" s="27"/>
      <c r="L13" s="27"/>
      <c r="M13" s="27"/>
      <c r="N13" s="27"/>
      <c r="O13" s="28"/>
      <c r="P13" s="28"/>
      <c r="Q13" s="28"/>
      <c r="R13" s="39"/>
      <c r="S13" s="39"/>
      <c r="T13" s="39"/>
      <c r="U13" s="39"/>
      <c r="V13" s="38"/>
      <c r="W13" s="38"/>
      <c r="X13" s="38">
        <v>0</v>
      </c>
      <c r="Y13" s="38"/>
      <c r="Z13" s="39"/>
      <c r="AA13" s="39"/>
      <c r="AB13" s="39"/>
      <c r="AC13" s="39"/>
      <c r="AD13" s="39"/>
      <c r="AE13" s="39"/>
      <c r="AF13" s="39"/>
      <c r="AG13" s="39"/>
      <c r="AH13" s="39"/>
      <c r="AI13" s="39">
        <v>30</v>
      </c>
      <c r="AJ13" s="39"/>
      <c r="AK13" s="39"/>
      <c r="AL13" s="39"/>
      <c r="AM13" s="39"/>
      <c r="AN13" s="39"/>
      <c r="AO13" s="39"/>
      <c r="AP13" s="39"/>
      <c r="AQ13" s="39"/>
      <c r="AR13" s="39"/>
      <c r="AS13" s="38"/>
      <c r="AT13" s="38"/>
      <c r="AU13" s="1">
        <f t="shared" si="1"/>
        <v>30</v>
      </c>
      <c r="AV13" s="6">
        <f>SUM(Q13:AT13)*I13/100</f>
        <v>1.3575525812619507</v>
      </c>
      <c r="AW13" s="1"/>
      <c r="AX13" s="10"/>
      <c r="AY13" s="1"/>
      <c r="AZ13" s="1">
        <f t="shared" si="2"/>
        <v>3.1379999999999995</v>
      </c>
      <c r="BA13" s="11"/>
      <c r="BB13" s="11"/>
    </row>
    <row r="14" spans="1:54" x14ac:dyDescent="0.15">
      <c r="A14" s="43" t="s">
        <v>10</v>
      </c>
      <c r="B14" s="1"/>
      <c r="C14" s="24"/>
      <c r="D14" s="32" t="s">
        <v>18</v>
      </c>
      <c r="E14" s="33" t="s">
        <v>12</v>
      </c>
      <c r="F14" s="34">
        <v>8.6999999999999993</v>
      </c>
      <c r="G14" s="35">
        <f t="shared" si="0"/>
        <v>13900000</v>
      </c>
      <c r="H14" s="36">
        <v>13.9</v>
      </c>
      <c r="I14" s="37">
        <f>H14/AZ14</f>
        <v>4.4295729764181013</v>
      </c>
      <c r="J14" s="27"/>
      <c r="K14" s="27"/>
      <c r="L14" s="27"/>
      <c r="M14" s="27"/>
      <c r="N14" s="27"/>
      <c r="O14" s="28"/>
      <c r="P14" s="28"/>
      <c r="Q14" s="28"/>
      <c r="R14" s="39"/>
      <c r="S14" s="39"/>
      <c r="T14" s="39"/>
      <c r="U14" s="39"/>
      <c r="V14" s="38"/>
      <c r="W14" s="38"/>
      <c r="X14" s="38">
        <v>0</v>
      </c>
      <c r="Y14" s="38"/>
      <c r="Z14" s="39"/>
      <c r="AA14" s="39"/>
      <c r="AB14" s="39"/>
      <c r="AC14" s="39">
        <v>30</v>
      </c>
      <c r="AD14" s="39"/>
      <c r="AE14" s="39"/>
      <c r="AF14" s="39"/>
      <c r="AG14" s="39"/>
      <c r="AH14" s="39"/>
      <c r="AI14" s="39">
        <v>30</v>
      </c>
      <c r="AJ14" s="39"/>
      <c r="AK14" s="39"/>
      <c r="AL14" s="39"/>
      <c r="AM14" s="39"/>
      <c r="AN14" s="39"/>
      <c r="AO14" s="39"/>
      <c r="AP14" s="39"/>
      <c r="AQ14" s="39"/>
      <c r="AR14" s="39"/>
      <c r="AS14" s="38"/>
      <c r="AT14" s="38"/>
      <c r="AU14" s="1">
        <f t="shared" si="1"/>
        <v>60</v>
      </c>
      <c r="AV14" s="6">
        <f>SUM(Q14:AT14)*I14/100</f>
        <v>2.6577437858508608</v>
      </c>
      <c r="AW14" s="1"/>
      <c r="AX14" s="10"/>
      <c r="AY14" s="1"/>
      <c r="AZ14" s="1">
        <f t="shared" si="2"/>
        <v>3.1379999999999995</v>
      </c>
      <c r="BA14" s="11"/>
      <c r="BB14" s="11"/>
    </row>
    <row r="15" spans="1:54" x14ac:dyDescent="0.15">
      <c r="A15" s="43" t="s">
        <v>10</v>
      </c>
      <c r="B15" s="1"/>
      <c r="C15" s="44">
        <v>12</v>
      </c>
      <c r="D15" s="32" t="s">
        <v>19</v>
      </c>
      <c r="E15" s="33" t="s">
        <v>12</v>
      </c>
      <c r="F15" s="34">
        <v>12.3</v>
      </c>
      <c r="G15" s="35">
        <f t="shared" si="0"/>
        <v>19700000</v>
      </c>
      <c r="H15" s="36">
        <v>19.7</v>
      </c>
      <c r="I15" s="37">
        <f>H15/AZ15</f>
        <v>6.2778840025493956</v>
      </c>
      <c r="J15" s="27"/>
      <c r="K15" s="27"/>
      <c r="L15" s="27"/>
      <c r="M15" s="27"/>
      <c r="N15" s="27"/>
      <c r="O15" s="28"/>
      <c r="P15" s="28"/>
      <c r="Q15" s="28"/>
      <c r="R15" s="39"/>
      <c r="S15" s="39"/>
      <c r="T15" s="39"/>
      <c r="U15" s="39"/>
      <c r="V15" s="39"/>
      <c r="W15" s="39"/>
      <c r="X15" s="38">
        <v>80</v>
      </c>
      <c r="Y15" s="38"/>
      <c r="Z15" s="38"/>
      <c r="AA15" s="38"/>
      <c r="AB15" s="39"/>
      <c r="AC15" s="39"/>
      <c r="AD15" s="39"/>
      <c r="AE15" s="39"/>
      <c r="AF15" s="39"/>
      <c r="AG15" s="39"/>
      <c r="AH15" s="39"/>
      <c r="AI15" s="39">
        <v>20</v>
      </c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1">
        <f t="shared" si="1"/>
        <v>100</v>
      </c>
      <c r="AV15" s="6">
        <f>SUM(Q15:AT15)*I15/100</f>
        <v>6.2778840025493956</v>
      </c>
      <c r="AW15" s="1"/>
      <c r="AX15" s="10"/>
      <c r="AY15" s="1"/>
      <c r="AZ15" s="1">
        <f t="shared" si="2"/>
        <v>3.1379999999999995</v>
      </c>
      <c r="BA15" s="11"/>
      <c r="BB15" s="11"/>
    </row>
    <row r="16" spans="1:54" x14ac:dyDescent="0.15">
      <c r="A16" s="30" t="s">
        <v>10</v>
      </c>
      <c r="B16" s="1"/>
      <c r="C16" s="31">
        <v>13</v>
      </c>
      <c r="D16" s="32" t="s">
        <v>24</v>
      </c>
      <c r="E16" s="33" t="s">
        <v>12</v>
      </c>
      <c r="F16" s="34">
        <v>11.85</v>
      </c>
      <c r="G16" s="35">
        <f t="shared" si="0"/>
        <v>18950000</v>
      </c>
      <c r="H16" s="36">
        <v>18.95</v>
      </c>
      <c r="I16" s="37">
        <f>H16/AZ16</f>
        <v>6.0388782664117278</v>
      </c>
      <c r="J16" s="27"/>
      <c r="K16" s="27"/>
      <c r="L16" s="27"/>
      <c r="M16" s="27"/>
      <c r="N16" s="27"/>
      <c r="O16" s="28"/>
      <c r="P16" s="28"/>
      <c r="Q16" s="28"/>
      <c r="R16" s="39"/>
      <c r="S16" s="39"/>
      <c r="T16" s="39"/>
      <c r="U16" s="39"/>
      <c r="V16" s="39"/>
      <c r="W16" s="39"/>
      <c r="X16" s="39">
        <v>0</v>
      </c>
      <c r="Y16" s="39"/>
      <c r="Z16" s="38"/>
      <c r="AA16" s="38"/>
      <c r="AB16" s="38"/>
      <c r="AC16" s="38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>
        <v>50</v>
      </c>
      <c r="AO16" s="39"/>
      <c r="AP16" s="39"/>
      <c r="AQ16" s="39"/>
      <c r="AR16" s="39"/>
      <c r="AS16" s="39"/>
      <c r="AT16" s="39"/>
      <c r="AU16" s="1">
        <f t="shared" si="1"/>
        <v>50</v>
      </c>
      <c r="AV16" s="6">
        <f>SUM(Q16:AT16)*I16/100</f>
        <v>3.0194391332058639</v>
      </c>
      <c r="AW16" s="1"/>
      <c r="AX16" s="10"/>
      <c r="AY16" s="1"/>
      <c r="AZ16" s="1">
        <f t="shared" si="2"/>
        <v>3.1379999999999995</v>
      </c>
      <c r="BA16" s="11"/>
      <c r="BB16" s="11"/>
    </row>
    <row r="17" spans="1:54" x14ac:dyDescent="0.15">
      <c r="A17" s="8"/>
      <c r="B17" s="1"/>
      <c r="C17" s="40"/>
      <c r="D17" s="32" t="s">
        <v>24</v>
      </c>
      <c r="E17" s="33" t="s">
        <v>12</v>
      </c>
      <c r="F17" s="34">
        <v>11.85</v>
      </c>
      <c r="G17" s="35">
        <f t="shared" si="0"/>
        <v>18950000</v>
      </c>
      <c r="H17" s="36">
        <v>18.95</v>
      </c>
      <c r="I17" s="37">
        <f>H17/AZ17</f>
        <v>6.0388782664117278</v>
      </c>
      <c r="J17" s="27"/>
      <c r="K17" s="27"/>
      <c r="L17" s="27"/>
      <c r="M17" s="27"/>
      <c r="N17" s="27"/>
      <c r="O17" s="28"/>
      <c r="P17" s="28"/>
      <c r="Q17" s="28"/>
      <c r="R17" s="39"/>
      <c r="S17" s="39"/>
      <c r="T17" s="39"/>
      <c r="U17" s="39"/>
      <c r="V17" s="39"/>
      <c r="W17" s="39"/>
      <c r="X17" s="39">
        <v>0</v>
      </c>
      <c r="Y17" s="39"/>
      <c r="Z17" s="38"/>
      <c r="AA17" s="38"/>
      <c r="AB17" s="38"/>
      <c r="AC17" s="38">
        <v>30</v>
      </c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>
        <v>50</v>
      </c>
      <c r="AO17" s="39"/>
      <c r="AP17" s="39"/>
      <c r="AQ17" s="39"/>
      <c r="AR17" s="39"/>
      <c r="AS17" s="39"/>
      <c r="AT17" s="39"/>
      <c r="AU17" s="1">
        <f t="shared" si="1"/>
        <v>80</v>
      </c>
      <c r="AV17" s="6">
        <f>SUM(Q17:AT17)*I17/100</f>
        <v>4.8311026131293824</v>
      </c>
      <c r="AW17" s="1"/>
      <c r="AX17" s="10"/>
      <c r="AY17" s="1"/>
      <c r="AZ17" s="1">
        <f t="shared" si="2"/>
        <v>3.1379999999999995</v>
      </c>
      <c r="BA17" s="11"/>
      <c r="BB17" s="11"/>
    </row>
    <row r="18" spans="1:54" x14ac:dyDescent="0.15">
      <c r="A18" s="8"/>
      <c r="B18" s="1"/>
      <c r="C18" s="24"/>
      <c r="D18" s="32" t="s">
        <v>20</v>
      </c>
      <c r="E18" s="33" t="s">
        <v>12</v>
      </c>
      <c r="F18" s="34">
        <v>12</v>
      </c>
      <c r="G18" s="35">
        <f t="shared" si="0"/>
        <v>19200000</v>
      </c>
      <c r="H18" s="36">
        <v>19.2</v>
      </c>
      <c r="I18" s="37">
        <f>H18/AZ18</f>
        <v>6.1185468451242837</v>
      </c>
      <c r="J18" s="27"/>
      <c r="K18" s="27"/>
      <c r="L18" s="27"/>
      <c r="M18" s="27"/>
      <c r="N18" s="27"/>
      <c r="O18" s="28"/>
      <c r="P18" s="28"/>
      <c r="Q18" s="28"/>
      <c r="R18" s="39"/>
      <c r="S18" s="39"/>
      <c r="T18" s="39"/>
      <c r="U18" s="39"/>
      <c r="V18" s="39"/>
      <c r="W18" s="39"/>
      <c r="X18" s="39">
        <v>0</v>
      </c>
      <c r="Y18" s="39"/>
      <c r="Z18" s="39"/>
      <c r="AA18" s="38"/>
      <c r="AB18" s="38"/>
      <c r="AC18" s="38">
        <v>30</v>
      </c>
      <c r="AD18" s="38"/>
      <c r="AE18" s="39"/>
      <c r="AF18" s="39"/>
      <c r="AG18" s="39"/>
      <c r="AH18" s="39"/>
      <c r="AI18" s="39"/>
      <c r="AJ18" s="39"/>
      <c r="AK18" s="39"/>
      <c r="AL18" s="39"/>
      <c r="AM18" s="39"/>
      <c r="AN18" s="39">
        <v>50</v>
      </c>
      <c r="AO18" s="39"/>
      <c r="AP18" s="39"/>
      <c r="AQ18" s="39"/>
      <c r="AR18" s="39"/>
      <c r="AS18" s="39"/>
      <c r="AT18" s="39"/>
      <c r="AU18" s="1">
        <f t="shared" si="1"/>
        <v>80</v>
      </c>
      <c r="AV18" s="6">
        <f>SUM(Q18:AT18)*I18/100</f>
        <v>4.8948374760994273</v>
      </c>
      <c r="AW18" s="1"/>
      <c r="AX18" s="10"/>
      <c r="AY18" s="1"/>
      <c r="AZ18" s="1">
        <f t="shared" si="2"/>
        <v>3.1379999999999995</v>
      </c>
      <c r="BA18" s="11"/>
      <c r="BB18" s="11"/>
    </row>
    <row r="19" spans="1:54" x14ac:dyDescent="0.15">
      <c r="A19" s="43" t="s">
        <v>10</v>
      </c>
      <c r="B19" s="1"/>
      <c r="C19" s="31">
        <v>15</v>
      </c>
      <c r="D19" s="32" t="s">
        <v>25</v>
      </c>
      <c r="E19" s="33" t="s">
        <v>12</v>
      </c>
      <c r="F19" s="34">
        <v>8.25</v>
      </c>
      <c r="G19" s="35">
        <f t="shared" si="0"/>
        <v>13200000</v>
      </c>
      <c r="H19" s="36">
        <v>13.2</v>
      </c>
      <c r="I19" s="37">
        <f>H19/AZ19</f>
        <v>4.2065009560229454</v>
      </c>
      <c r="J19" s="27"/>
      <c r="K19" s="27"/>
      <c r="L19" s="27"/>
      <c r="M19" s="27"/>
      <c r="N19" s="27"/>
      <c r="O19" s="28"/>
      <c r="P19" s="28"/>
      <c r="Q19" s="28"/>
      <c r="R19" s="39"/>
      <c r="S19" s="39"/>
      <c r="T19" s="39"/>
      <c r="U19" s="39"/>
      <c r="V19" s="39"/>
      <c r="W19" s="39"/>
      <c r="X19" s="39">
        <v>0</v>
      </c>
      <c r="Y19" s="39"/>
      <c r="Z19" s="39"/>
      <c r="AA19" s="39"/>
      <c r="AB19" s="38"/>
      <c r="AC19" s="38"/>
      <c r="AD19" s="38"/>
      <c r="AE19" s="38"/>
      <c r="AF19" s="39"/>
      <c r="AG19" s="39"/>
      <c r="AH19" s="39"/>
      <c r="AI19" s="39"/>
      <c r="AJ19" s="39"/>
      <c r="AK19" s="39"/>
      <c r="AL19" s="39"/>
      <c r="AM19" s="39"/>
      <c r="AN19" s="39">
        <v>50</v>
      </c>
      <c r="AO19" s="39"/>
      <c r="AP19" s="39"/>
      <c r="AQ19" s="39"/>
      <c r="AR19" s="39"/>
      <c r="AS19" s="39"/>
      <c r="AT19" s="39"/>
      <c r="AU19" s="1">
        <f t="shared" si="1"/>
        <v>50</v>
      </c>
      <c r="AV19" s="6">
        <f>SUM(Q19:AT19)*I19/100</f>
        <v>2.1032504780114727</v>
      </c>
      <c r="AW19" s="1"/>
      <c r="AX19" s="10"/>
      <c r="AY19" s="1"/>
      <c r="AZ19" s="1">
        <f t="shared" si="2"/>
        <v>3.1379999999999995</v>
      </c>
      <c r="BA19" s="11"/>
      <c r="BB19" s="11"/>
    </row>
    <row r="20" spans="1:54" x14ac:dyDescent="0.15">
      <c r="A20" s="43" t="s">
        <v>10</v>
      </c>
      <c r="B20" s="1"/>
      <c r="C20" s="24"/>
      <c r="D20" s="32" t="s">
        <v>25</v>
      </c>
      <c r="E20" s="33" t="s">
        <v>12</v>
      </c>
      <c r="F20" s="34">
        <v>9.51</v>
      </c>
      <c r="G20" s="35">
        <f t="shared" si="0"/>
        <v>15200000</v>
      </c>
      <c r="H20" s="36">
        <v>15.2</v>
      </c>
      <c r="I20" s="37">
        <f>H20/AZ20</f>
        <v>4.8438495857233912</v>
      </c>
      <c r="J20" s="27"/>
      <c r="K20" s="27"/>
      <c r="L20" s="27"/>
      <c r="M20" s="27"/>
      <c r="N20" s="27"/>
      <c r="O20" s="28"/>
      <c r="P20" s="28"/>
      <c r="Q20" s="28"/>
      <c r="R20" s="39"/>
      <c r="S20" s="39"/>
      <c r="T20" s="39"/>
      <c r="U20" s="39"/>
      <c r="V20" s="39"/>
      <c r="W20" s="39"/>
      <c r="X20" s="39">
        <v>0</v>
      </c>
      <c r="Y20" s="39"/>
      <c r="Z20" s="39"/>
      <c r="AA20" s="39"/>
      <c r="AB20" s="38"/>
      <c r="AC20" s="38">
        <v>30</v>
      </c>
      <c r="AD20" s="38"/>
      <c r="AE20" s="38"/>
      <c r="AF20" s="39"/>
      <c r="AG20" s="39"/>
      <c r="AH20" s="39"/>
      <c r="AI20" s="39"/>
      <c r="AJ20" s="39"/>
      <c r="AK20" s="39"/>
      <c r="AL20" s="39"/>
      <c r="AM20" s="39"/>
      <c r="AN20" s="39">
        <v>50</v>
      </c>
      <c r="AO20" s="39"/>
      <c r="AP20" s="39"/>
      <c r="AQ20" s="39"/>
      <c r="AR20" s="39"/>
      <c r="AS20" s="39"/>
      <c r="AT20" s="39"/>
      <c r="AU20" s="1">
        <f t="shared" si="1"/>
        <v>80</v>
      </c>
      <c r="AV20" s="6">
        <f>SUM(Q20:AT20)*I20/100</f>
        <v>3.8750796685787128</v>
      </c>
      <c r="AW20" s="1"/>
      <c r="AX20" s="10"/>
      <c r="AY20" s="1"/>
      <c r="AZ20" s="1">
        <f t="shared" si="2"/>
        <v>3.1379999999999995</v>
      </c>
      <c r="BA20" s="11"/>
      <c r="BB20" s="11"/>
    </row>
    <row r="21" spans="1:54" x14ac:dyDescent="0.15">
      <c r="A21" s="30" t="s">
        <v>10</v>
      </c>
      <c r="B21" s="1"/>
      <c r="C21" s="31">
        <v>17</v>
      </c>
      <c r="D21" s="32" t="s">
        <v>26</v>
      </c>
      <c r="E21" s="33" t="s">
        <v>12</v>
      </c>
      <c r="F21" s="34">
        <v>10.95</v>
      </c>
      <c r="G21" s="35">
        <f t="shared" si="0"/>
        <v>17500000</v>
      </c>
      <c r="H21" s="36">
        <v>17.5</v>
      </c>
      <c r="I21" s="37">
        <f>H21/AZ21</f>
        <v>5.5768005098789049</v>
      </c>
      <c r="J21" s="27"/>
      <c r="K21" s="27"/>
      <c r="L21" s="27"/>
      <c r="M21" s="27"/>
      <c r="N21" s="27"/>
      <c r="O21" s="28"/>
      <c r="P21" s="28"/>
      <c r="Q21" s="28"/>
      <c r="R21" s="39"/>
      <c r="S21" s="39"/>
      <c r="T21" s="39"/>
      <c r="U21" s="39"/>
      <c r="V21" s="39"/>
      <c r="W21" s="39"/>
      <c r="X21" s="39">
        <v>0</v>
      </c>
      <c r="Y21" s="39"/>
      <c r="Z21" s="39"/>
      <c r="AA21" s="39"/>
      <c r="AB21" s="39"/>
      <c r="AC21" s="39">
        <v>30</v>
      </c>
      <c r="AD21" s="38"/>
      <c r="AE21" s="38"/>
      <c r="AF21" s="38"/>
      <c r="AG21" s="38"/>
      <c r="AH21" s="39"/>
      <c r="AI21" s="39"/>
      <c r="AJ21" s="39"/>
      <c r="AK21" s="39"/>
      <c r="AL21" s="39"/>
      <c r="AM21" s="39"/>
      <c r="AN21" s="39">
        <v>50</v>
      </c>
      <c r="AO21" s="39"/>
      <c r="AP21" s="39"/>
      <c r="AQ21" s="39"/>
      <c r="AR21" s="39"/>
      <c r="AS21" s="39"/>
      <c r="AT21" s="39"/>
      <c r="AU21" s="1">
        <f t="shared" si="1"/>
        <v>80</v>
      </c>
      <c r="AV21" s="6">
        <f>SUM(Q21:AT21)*I21/100</f>
        <v>4.4614404079031234</v>
      </c>
      <c r="AW21" s="1"/>
      <c r="AX21" s="10"/>
      <c r="AY21" s="1"/>
      <c r="AZ21" s="1">
        <f t="shared" si="2"/>
        <v>3.1379999999999995</v>
      </c>
      <c r="BA21" s="11"/>
      <c r="BB21" s="11"/>
    </row>
    <row r="22" spans="1:54" x14ac:dyDescent="0.15">
      <c r="A22" s="8"/>
      <c r="B22" s="1"/>
      <c r="C22" s="40"/>
      <c r="D22" s="32" t="s">
        <v>27</v>
      </c>
      <c r="E22" s="33" t="s">
        <v>12</v>
      </c>
      <c r="F22" s="34">
        <v>11.58</v>
      </c>
      <c r="G22" s="35">
        <f t="shared" si="0"/>
        <v>18500000</v>
      </c>
      <c r="H22" s="36">
        <v>18.5</v>
      </c>
      <c r="I22" s="37">
        <f>H22/AZ22</f>
        <v>5.8954748247291278</v>
      </c>
      <c r="J22" s="27"/>
      <c r="K22" s="27"/>
      <c r="L22" s="27"/>
      <c r="M22" s="27"/>
      <c r="N22" s="27"/>
      <c r="O22" s="28"/>
      <c r="P22" s="28"/>
      <c r="Q22" s="28"/>
      <c r="R22" s="39"/>
      <c r="S22" s="39"/>
      <c r="T22" s="39"/>
      <c r="U22" s="39"/>
      <c r="V22" s="39"/>
      <c r="W22" s="39"/>
      <c r="X22" s="39">
        <v>0</v>
      </c>
      <c r="Y22" s="39"/>
      <c r="Z22" s="39"/>
      <c r="AA22" s="39"/>
      <c r="AB22" s="39"/>
      <c r="AC22" s="39"/>
      <c r="AD22" s="38"/>
      <c r="AE22" s="38"/>
      <c r="AF22" s="38"/>
      <c r="AG22" s="38"/>
      <c r="AH22" s="39"/>
      <c r="AI22" s="39"/>
      <c r="AJ22" s="39"/>
      <c r="AK22" s="39"/>
      <c r="AL22" s="39"/>
      <c r="AM22" s="39"/>
      <c r="AN22" s="39">
        <v>50</v>
      </c>
      <c r="AO22" s="39"/>
      <c r="AP22" s="39"/>
      <c r="AQ22" s="39"/>
      <c r="AR22" s="39"/>
      <c r="AS22" s="39"/>
      <c r="AT22" s="39"/>
      <c r="AU22" s="1">
        <f t="shared" si="1"/>
        <v>50</v>
      </c>
      <c r="AV22" s="6">
        <f>SUM(Q22:AT22)*I22/100</f>
        <v>2.9477374123645639</v>
      </c>
      <c r="AW22" s="1"/>
      <c r="AX22" s="10"/>
      <c r="AY22" s="1"/>
      <c r="AZ22" s="1">
        <f t="shared" si="2"/>
        <v>3.1379999999999995</v>
      </c>
      <c r="BA22" s="11"/>
      <c r="BB22" s="11"/>
    </row>
    <row r="23" spans="1:54" x14ac:dyDescent="0.15">
      <c r="A23" s="43" t="s">
        <v>10</v>
      </c>
      <c r="B23" s="1"/>
      <c r="C23" s="45">
        <v>17</v>
      </c>
      <c r="D23" s="32" t="s">
        <v>21</v>
      </c>
      <c r="E23" s="33" t="s">
        <v>12</v>
      </c>
      <c r="F23" s="34">
        <v>11.58</v>
      </c>
      <c r="G23" s="35">
        <f t="shared" si="0"/>
        <v>18500000</v>
      </c>
      <c r="H23" s="36">
        <v>18.5</v>
      </c>
      <c r="I23" s="37">
        <f>H23/AZ23</f>
        <v>5.8954748247291278</v>
      </c>
      <c r="J23" s="27"/>
      <c r="K23" s="27"/>
      <c r="L23" s="27"/>
      <c r="M23" s="27"/>
      <c r="N23" s="27"/>
      <c r="O23" s="28"/>
      <c r="P23" s="28"/>
      <c r="Q23" s="28"/>
      <c r="R23" s="39"/>
      <c r="S23" s="39"/>
      <c r="T23" s="39"/>
      <c r="U23" s="39"/>
      <c r="V23" s="39"/>
      <c r="W23" s="39"/>
      <c r="X23" s="39">
        <v>0</v>
      </c>
      <c r="Y23" s="39"/>
      <c r="Z23" s="39"/>
      <c r="AA23" s="39"/>
      <c r="AB23" s="39"/>
      <c r="AC23" s="39"/>
      <c r="AD23" s="39"/>
      <c r="AE23" s="38"/>
      <c r="AF23" s="38"/>
      <c r="AG23" s="38"/>
      <c r="AH23" s="38"/>
      <c r="AI23" s="39"/>
      <c r="AJ23" s="39"/>
      <c r="AK23" s="39"/>
      <c r="AL23" s="39"/>
      <c r="AM23" s="39"/>
      <c r="AN23" s="39">
        <v>50</v>
      </c>
      <c r="AO23" s="39"/>
      <c r="AP23" s="39"/>
      <c r="AQ23" s="39"/>
      <c r="AR23" s="39"/>
      <c r="AS23" s="39"/>
      <c r="AT23" s="39"/>
      <c r="AU23" s="1">
        <f t="shared" si="1"/>
        <v>50</v>
      </c>
      <c r="AV23" s="6">
        <f>SUM(Q23:AT23)*I23/100</f>
        <v>2.9477374123645639</v>
      </c>
      <c r="AW23" s="1"/>
      <c r="AX23" s="10"/>
      <c r="AY23" s="1"/>
      <c r="AZ23" s="1">
        <f t="shared" si="2"/>
        <v>3.1379999999999995</v>
      </c>
      <c r="BA23" s="11"/>
      <c r="BB23" s="11"/>
    </row>
    <row r="24" spans="1:54" x14ac:dyDescent="0.15">
      <c r="A24" s="1"/>
      <c r="B24" s="1"/>
      <c r="C24" s="2"/>
      <c r="D24" s="1"/>
      <c r="E24" s="1"/>
      <c r="F24" s="41">
        <f>SUM(F4:F23)</f>
        <v>196.29</v>
      </c>
      <c r="G24" s="46"/>
      <c r="H24" s="5">
        <f>SUM(H4:H23)</f>
        <v>313.79999999999995</v>
      </c>
      <c r="I24" s="47">
        <f>SUM(I4:I23)</f>
        <v>100</v>
      </c>
      <c r="J24" s="48"/>
      <c r="K24" s="48"/>
      <c r="L24" s="48"/>
      <c r="M24" s="48"/>
      <c r="N24" s="48"/>
      <c r="O24" s="49"/>
      <c r="P24" s="49"/>
      <c r="Q24" s="5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11</v>
      </c>
      <c r="AV24" s="47">
        <f>SUM(AV4:AV23)</f>
        <v>67.700764818355651</v>
      </c>
      <c r="AW24" s="1"/>
      <c r="AX24" s="10"/>
      <c r="AY24" s="1"/>
      <c r="AZ24" s="1"/>
      <c r="BA24" s="11"/>
      <c r="BB24" s="11"/>
    </row>
    <row r="25" spans="1:54" x14ac:dyDescent="0.15">
      <c r="AX25" s="53"/>
      <c r="BA25" s="11"/>
      <c r="BB25" s="11"/>
    </row>
    <row r="26" spans="1:54" x14ac:dyDescent="0.15">
      <c r="AX26" s="53"/>
      <c r="BA26" s="11"/>
      <c r="BB26" s="11"/>
    </row>
    <row r="27" spans="1:54" x14ac:dyDescent="0.15">
      <c r="AX27" s="53"/>
      <c r="BA27" s="11"/>
      <c r="BB27" s="11"/>
    </row>
    <row r="28" spans="1:54" x14ac:dyDescent="0.15">
      <c r="AX28" s="53"/>
      <c r="BA28" s="11"/>
      <c r="BB28" s="11"/>
    </row>
    <row r="29" spans="1:54" x14ac:dyDescent="0.15">
      <c r="AX29" s="53"/>
      <c r="BA29" s="11"/>
      <c r="BB29" s="11"/>
    </row>
    <row r="30" spans="1:54" x14ac:dyDescent="0.15">
      <c r="AX30" s="53"/>
      <c r="BA30" s="11"/>
      <c r="BB30" s="11"/>
    </row>
    <row r="31" spans="1:54" x14ac:dyDescent="0.15">
      <c r="AX31" s="53"/>
      <c r="BA31" s="11"/>
      <c r="BB31" s="11"/>
    </row>
    <row r="32" spans="1:54" x14ac:dyDescent="0.15">
      <c r="AX32" s="53"/>
      <c r="BA32" s="11"/>
      <c r="BB32" s="11"/>
    </row>
    <row r="33" spans="50:54" x14ac:dyDescent="0.15">
      <c r="AX33" s="53"/>
      <c r="BA33" s="54"/>
      <c r="BB33" s="11"/>
    </row>
    <row r="34" spans="50:54" x14ac:dyDescent="0.15">
      <c r="AX34" s="53"/>
      <c r="BA34" s="54"/>
      <c r="BB34" s="11"/>
    </row>
    <row r="35" spans="50:54" x14ac:dyDescent="0.15">
      <c r="AX35" s="53"/>
      <c r="BA35" s="54"/>
      <c r="BB35" s="11"/>
    </row>
    <row r="36" spans="50:54" x14ac:dyDescent="0.15">
      <c r="AX36" s="53"/>
      <c r="BA36" s="54"/>
      <c r="BB36" s="11"/>
    </row>
    <row r="37" spans="50:54" x14ac:dyDescent="0.15">
      <c r="AX37" s="53"/>
      <c r="BA37" s="54"/>
      <c r="BB37" s="11"/>
    </row>
    <row r="38" spans="50:54" x14ac:dyDescent="0.15">
      <c r="AX38" s="53"/>
      <c r="BA38" s="54"/>
      <c r="BB38" s="11"/>
    </row>
    <row r="39" spans="50:54" x14ac:dyDescent="0.15">
      <c r="AX39" s="53"/>
      <c r="BA39" s="54"/>
      <c r="BB39" s="11"/>
    </row>
    <row r="40" spans="50:54" x14ac:dyDescent="0.15">
      <c r="AX40" s="53"/>
      <c r="BA40" s="54"/>
      <c r="BB40" s="11"/>
    </row>
    <row r="41" spans="50:54" x14ac:dyDescent="0.15">
      <c r="AX41" s="53"/>
      <c r="BA41" s="54"/>
      <c r="BB41" s="11"/>
    </row>
    <row r="42" spans="50:54" x14ac:dyDescent="0.15">
      <c r="AX42" s="53"/>
      <c r="BA42" s="54"/>
      <c r="BB42" s="11"/>
    </row>
    <row r="43" spans="50:54" x14ac:dyDescent="0.15">
      <c r="AX43" s="53"/>
      <c r="BA43" s="54"/>
      <c r="BB43" s="11"/>
    </row>
    <row r="44" spans="50:54" x14ac:dyDescent="0.15">
      <c r="AX44" s="53"/>
      <c r="BA44" s="54"/>
      <c r="BB44" s="11"/>
    </row>
    <row r="45" spans="50:54" x14ac:dyDescent="0.15">
      <c r="AX45" s="53"/>
      <c r="BA45" s="54"/>
      <c r="BB45" s="11"/>
    </row>
    <row r="46" spans="50:54" x14ac:dyDescent="0.15">
      <c r="AX46" s="53"/>
      <c r="BA46" s="54"/>
      <c r="BB46" s="11"/>
    </row>
    <row r="47" spans="50:54" x14ac:dyDescent="0.15">
      <c r="AX47" s="53"/>
      <c r="BA47" s="54"/>
      <c r="BB47" s="11"/>
    </row>
    <row r="48" spans="50:54" x14ac:dyDescent="0.15">
      <c r="AX48" s="53"/>
      <c r="BA48" s="54"/>
      <c r="BB48" s="11"/>
    </row>
    <row r="49" spans="50:54" x14ac:dyDescent="0.15">
      <c r="AX49" s="53"/>
      <c r="BA49" s="54"/>
      <c r="BB49" s="11"/>
    </row>
    <row r="50" spans="50:54" x14ac:dyDescent="0.15">
      <c r="AX50" s="53"/>
      <c r="BA50" s="54"/>
      <c r="BB50" s="11"/>
    </row>
    <row r="51" spans="50:54" x14ac:dyDescent="0.15">
      <c r="AX51" s="53"/>
      <c r="BA51" s="54"/>
      <c r="BB51" s="11"/>
    </row>
    <row r="52" spans="50:54" x14ac:dyDescent="0.15">
      <c r="AX52" s="53"/>
      <c r="BA52" s="54"/>
      <c r="BB52" s="11"/>
    </row>
    <row r="53" spans="50:54" x14ac:dyDescent="0.15">
      <c r="AX53" s="53"/>
      <c r="BA53" s="54"/>
      <c r="BB53" s="11"/>
    </row>
    <row r="54" spans="50:54" x14ac:dyDescent="0.15">
      <c r="AX54" s="53"/>
      <c r="BA54" s="54"/>
      <c r="BB54" s="11"/>
    </row>
    <row r="55" spans="50:54" x14ac:dyDescent="0.15">
      <c r="AX55" s="53"/>
      <c r="BA55" s="54"/>
      <c r="BB55" s="11"/>
    </row>
    <row r="56" spans="50:54" x14ac:dyDescent="0.15">
      <c r="AX56" s="53"/>
      <c r="BA56" s="54"/>
      <c r="BB56" s="11"/>
    </row>
    <row r="57" spans="50:54" x14ac:dyDescent="0.15">
      <c r="AX57" s="53"/>
      <c r="BA57" s="54"/>
      <c r="BB57" s="11"/>
    </row>
    <row r="58" spans="50:54" x14ac:dyDescent="0.15">
      <c r="AX58" s="53"/>
      <c r="BA58" s="54"/>
      <c r="BB58" s="11"/>
    </row>
    <row r="59" spans="50:54" x14ac:dyDescent="0.15">
      <c r="AX59" s="53"/>
      <c r="BA59" s="54"/>
      <c r="BB59" s="11"/>
    </row>
    <row r="60" spans="50:54" x14ac:dyDescent="0.15">
      <c r="AX60" s="53"/>
      <c r="BA60" s="54"/>
      <c r="BB60" s="11"/>
    </row>
    <row r="61" spans="50:54" x14ac:dyDescent="0.15">
      <c r="AX61" s="53"/>
      <c r="BA61" s="54"/>
      <c r="BB61" s="11"/>
    </row>
    <row r="62" spans="50:54" x14ac:dyDescent="0.15">
      <c r="AX62" s="53"/>
      <c r="BA62" s="54"/>
      <c r="BB62" s="11"/>
    </row>
    <row r="63" spans="50:54" x14ac:dyDescent="0.15">
      <c r="AX63" s="53"/>
      <c r="BA63" s="54"/>
      <c r="BB63" s="11"/>
    </row>
    <row r="64" spans="50:54" x14ac:dyDescent="0.15">
      <c r="AX64" s="53"/>
      <c r="BA64" s="54"/>
      <c r="BB64" s="11"/>
    </row>
    <row r="65" spans="50:54" x14ac:dyDescent="0.15">
      <c r="AX65" s="53"/>
      <c r="BA65" s="54"/>
      <c r="BB65" s="54"/>
    </row>
    <row r="66" spans="50:54" x14ac:dyDescent="0.15">
      <c r="AX66" s="53"/>
      <c r="BA66" s="54"/>
      <c r="BB66" s="54"/>
    </row>
    <row r="67" spans="50:54" x14ac:dyDescent="0.15">
      <c r="AX67" s="53"/>
      <c r="BA67" s="54"/>
      <c r="BB67" s="54"/>
    </row>
    <row r="68" spans="50:54" x14ac:dyDescent="0.15">
      <c r="AX68" s="53"/>
      <c r="BA68" s="54"/>
      <c r="BB68" s="11"/>
    </row>
    <row r="69" spans="50:54" x14ac:dyDescent="0.15">
      <c r="AX69" s="53"/>
      <c r="BA69" s="54"/>
      <c r="BB69" s="11"/>
    </row>
    <row r="70" spans="50:54" x14ac:dyDescent="0.15">
      <c r="AX70" s="53"/>
      <c r="BA70" s="54"/>
      <c r="BB70" s="11"/>
    </row>
    <row r="71" spans="50:54" x14ac:dyDescent="0.15">
      <c r="AX71" s="53"/>
      <c r="BA71" s="54"/>
      <c r="BB71" s="11"/>
    </row>
    <row r="72" spans="50:54" x14ac:dyDescent="0.15">
      <c r="AX72" s="53"/>
      <c r="BA72" s="54"/>
      <c r="BB72" s="11"/>
    </row>
    <row r="73" spans="50:54" x14ac:dyDescent="0.15">
      <c r="AX73" s="53"/>
      <c r="BA73" s="54"/>
      <c r="BB73" s="11"/>
    </row>
    <row r="74" spans="50:54" x14ac:dyDescent="0.15">
      <c r="AX74" s="53"/>
      <c r="BA74" s="54"/>
      <c r="BB74" s="11"/>
    </row>
    <row r="75" spans="50:54" x14ac:dyDescent="0.15">
      <c r="AX75" s="53"/>
      <c r="BA75" s="54"/>
      <c r="BB75" s="11"/>
    </row>
    <row r="76" spans="50:54" x14ac:dyDescent="0.15">
      <c r="AX76" s="53"/>
      <c r="BA76" s="54"/>
      <c r="BB76" s="11"/>
    </row>
    <row r="77" spans="50:54" x14ac:dyDescent="0.15">
      <c r="AX77" s="53"/>
      <c r="BA77" s="54"/>
      <c r="BB77" s="11"/>
    </row>
    <row r="78" spans="50:54" x14ac:dyDescent="0.15">
      <c r="AX78" s="53"/>
      <c r="BA78" s="54"/>
      <c r="BB78" s="11"/>
    </row>
    <row r="79" spans="50:54" x14ac:dyDescent="0.15">
      <c r="AX79" s="53"/>
      <c r="BA79" s="54"/>
      <c r="BB79" s="11"/>
    </row>
    <row r="80" spans="50:54" x14ac:dyDescent="0.15">
      <c r="AX80" s="53"/>
      <c r="BA80" s="54"/>
      <c r="BB80" s="11"/>
    </row>
    <row r="81" spans="1:54" x14ac:dyDescent="0.15">
      <c r="AX81" s="53"/>
      <c r="BA81" s="54"/>
      <c r="BB81" s="11"/>
    </row>
    <row r="82" spans="1:54" x14ac:dyDescent="0.15">
      <c r="AX82" s="53"/>
      <c r="BA82" s="54"/>
      <c r="BB82" s="11"/>
    </row>
    <row r="83" spans="1:54" x14ac:dyDescent="0.15">
      <c r="AX83" s="53"/>
      <c r="BA83" s="54"/>
      <c r="BB83" s="11"/>
    </row>
    <row r="84" spans="1:54" x14ac:dyDescent="0.15">
      <c r="AX84" s="53"/>
      <c r="BA84" s="54"/>
      <c r="BB84" s="11"/>
    </row>
    <row r="85" spans="1:54" x14ac:dyDescent="0.15">
      <c r="AX85" s="53"/>
      <c r="BA85" s="54"/>
      <c r="BB85" s="11"/>
    </row>
    <row r="86" spans="1:54" x14ac:dyDescent="0.15">
      <c r="AX86" s="53"/>
      <c r="BA86" s="54"/>
      <c r="BB86" s="11"/>
    </row>
    <row r="87" spans="1:54" x14ac:dyDescent="0.15">
      <c r="A87" s="1"/>
      <c r="B87" s="1"/>
      <c r="C87" s="2"/>
      <c r="D87" s="1"/>
      <c r="E87" s="1"/>
      <c r="F87" s="3"/>
      <c r="G87" s="4"/>
      <c r="H87" s="5"/>
      <c r="I87" s="6"/>
      <c r="J87" s="41"/>
      <c r="K87" s="41"/>
      <c r="L87" s="41"/>
      <c r="M87" s="41"/>
      <c r="N87" s="41"/>
      <c r="O87" s="50"/>
      <c r="P87" s="50"/>
      <c r="Q87" s="50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0"/>
      <c r="AY87" s="1"/>
      <c r="AZ87" s="1"/>
      <c r="BA87" s="11"/>
      <c r="BB87" s="11"/>
    </row>
    <row r="88" spans="1:54" x14ac:dyDescent="0.15">
      <c r="A88" s="1"/>
      <c r="B88" s="1"/>
      <c r="C88" s="2"/>
      <c r="D88" s="1"/>
      <c r="E88" s="1"/>
      <c r="F88" s="3"/>
      <c r="G88" s="4"/>
      <c r="H88" s="5"/>
      <c r="I88" s="6"/>
      <c r="J88" s="41"/>
      <c r="K88" s="41"/>
      <c r="L88" s="41"/>
      <c r="M88" s="41"/>
      <c r="N88" s="41"/>
      <c r="O88" s="50"/>
      <c r="P88" s="50"/>
      <c r="Q88" s="50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0"/>
      <c r="AY88" s="1"/>
      <c r="AZ88" s="1"/>
      <c r="BA88" s="11"/>
      <c r="BB88" s="11"/>
    </row>
    <row r="89" spans="1:54" x14ac:dyDescent="0.15">
      <c r="A89" s="1"/>
      <c r="B89" s="1"/>
      <c r="C89" s="2"/>
      <c r="D89" s="1"/>
      <c r="E89" s="1"/>
      <c r="F89" s="3"/>
      <c r="G89" s="4"/>
      <c r="H89" s="5"/>
      <c r="I89" s="6"/>
      <c r="J89" s="41"/>
      <c r="K89" s="41"/>
      <c r="L89" s="41"/>
      <c r="M89" s="41"/>
      <c r="N89" s="41"/>
      <c r="O89" s="50"/>
      <c r="P89" s="50"/>
      <c r="Q89" s="50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0"/>
      <c r="AY89" s="1"/>
      <c r="AZ89" s="1"/>
      <c r="BA89" s="11"/>
      <c r="BB89" s="11"/>
    </row>
    <row r="90" spans="1:54" x14ac:dyDescent="0.15">
      <c r="A90" s="1"/>
      <c r="B90" s="1"/>
      <c r="C90" s="2"/>
      <c r="D90" s="1"/>
      <c r="E90" s="1"/>
      <c r="F90" s="3"/>
      <c r="G90" s="4"/>
      <c r="H90" s="5"/>
      <c r="I90" s="6"/>
      <c r="J90" s="41"/>
      <c r="K90" s="41"/>
      <c r="L90" s="41"/>
      <c r="M90" s="41"/>
      <c r="N90" s="41"/>
      <c r="O90" s="50"/>
      <c r="P90" s="50"/>
      <c r="Q90" s="50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0"/>
      <c r="AY90" s="1"/>
      <c r="AZ90" s="1"/>
      <c r="BA90" s="11"/>
      <c r="BB90" s="11"/>
    </row>
    <row r="91" spans="1:54" x14ac:dyDescent="0.15">
      <c r="A91" s="1"/>
      <c r="B91" s="1"/>
      <c r="C91" s="2"/>
      <c r="D91" s="1"/>
      <c r="E91" s="1"/>
      <c r="F91" s="3"/>
      <c r="G91" s="4"/>
      <c r="H91" s="5"/>
      <c r="I91" s="6"/>
      <c r="J91" s="41"/>
      <c r="K91" s="41"/>
      <c r="L91" s="41"/>
      <c r="M91" s="41"/>
      <c r="N91" s="41"/>
      <c r="O91" s="50"/>
      <c r="P91" s="50"/>
      <c r="Q91" s="50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0"/>
      <c r="AY91" s="1"/>
      <c r="AZ91" s="1"/>
      <c r="BA91" s="11"/>
      <c r="BB91" s="11"/>
    </row>
    <row r="92" spans="1:54" x14ac:dyDescent="0.15">
      <c r="A92" s="1"/>
      <c r="B92" s="1"/>
      <c r="C92" s="2"/>
      <c r="D92" s="1"/>
      <c r="E92" s="1"/>
      <c r="F92" s="3"/>
      <c r="G92" s="4"/>
      <c r="H92" s="5"/>
      <c r="I92" s="6"/>
      <c r="J92" s="41"/>
      <c r="K92" s="41"/>
      <c r="L92" s="41"/>
      <c r="M92" s="41"/>
      <c r="N92" s="41"/>
      <c r="O92" s="50"/>
      <c r="P92" s="50"/>
      <c r="Q92" s="50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0"/>
      <c r="AY92" s="1"/>
      <c r="AZ92" s="1"/>
      <c r="BA92" s="11"/>
      <c r="BB92" s="11"/>
    </row>
    <row r="93" spans="1:54" x14ac:dyDescent="0.15">
      <c r="A93" s="1"/>
      <c r="B93" s="1"/>
      <c r="C93" s="2"/>
      <c r="D93" s="1"/>
      <c r="E93" s="1"/>
      <c r="F93" s="3"/>
      <c r="G93" s="4"/>
      <c r="H93" s="5"/>
      <c r="I93" s="6"/>
      <c r="J93" s="41"/>
      <c r="K93" s="41"/>
      <c r="L93" s="41"/>
      <c r="M93" s="41"/>
      <c r="N93" s="41"/>
      <c r="O93" s="50"/>
      <c r="P93" s="50"/>
      <c r="Q93" s="50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0"/>
      <c r="AY93" s="1"/>
      <c r="AZ93" s="1"/>
      <c r="BA93" s="11"/>
      <c r="BB93" s="11"/>
    </row>
    <row r="94" spans="1:54" x14ac:dyDescent="0.15">
      <c r="A94" s="1"/>
      <c r="B94" s="1"/>
      <c r="C94" s="2"/>
      <c r="D94" s="1"/>
      <c r="E94" s="1"/>
      <c r="F94" s="3"/>
      <c r="G94" s="4"/>
      <c r="H94" s="5"/>
      <c r="I94" s="6"/>
      <c r="J94" s="41"/>
      <c r="K94" s="41"/>
      <c r="L94" s="41"/>
      <c r="M94" s="41"/>
      <c r="N94" s="41"/>
      <c r="O94" s="50"/>
      <c r="P94" s="50"/>
      <c r="Q94" s="50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0"/>
      <c r="AY94" s="1"/>
      <c r="AZ94" s="1"/>
      <c r="BA94" s="11"/>
      <c r="BB94" s="11"/>
    </row>
    <row r="95" spans="1:54" x14ac:dyDescent="0.15">
      <c r="A95" s="1"/>
      <c r="B95" s="1"/>
      <c r="C95" s="2"/>
      <c r="D95" s="1"/>
      <c r="E95" s="1"/>
      <c r="F95" s="3"/>
      <c r="G95" s="4"/>
      <c r="H95" s="5"/>
      <c r="I95" s="6"/>
      <c r="J95" s="41"/>
      <c r="K95" s="41"/>
      <c r="L95" s="41"/>
      <c r="M95" s="41"/>
      <c r="N95" s="41"/>
      <c r="O95" s="50"/>
      <c r="P95" s="50"/>
      <c r="Q95" s="50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0"/>
      <c r="AY95" s="1"/>
      <c r="AZ95" s="1"/>
      <c r="BA95" s="11"/>
      <c r="BB95" s="11"/>
    </row>
    <row r="96" spans="1:54" x14ac:dyDescent="0.15">
      <c r="A96" s="1"/>
      <c r="B96" s="1"/>
      <c r="C96" s="2"/>
      <c r="D96" s="1"/>
      <c r="E96" s="1"/>
      <c r="F96" s="3"/>
      <c r="G96" s="4"/>
      <c r="H96" s="5"/>
      <c r="I96" s="6"/>
      <c r="J96" s="41"/>
      <c r="K96" s="41"/>
      <c r="L96" s="41"/>
      <c r="M96" s="41"/>
      <c r="N96" s="41"/>
      <c r="O96" s="50"/>
      <c r="P96" s="50"/>
      <c r="Q96" s="50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0"/>
      <c r="AY96" s="1"/>
      <c r="AZ96" s="1"/>
      <c r="BA96" s="11"/>
      <c r="BB96" s="11"/>
    </row>
    <row r="97" spans="1:54" x14ac:dyDescent="0.15">
      <c r="A97" s="1"/>
      <c r="B97" s="1"/>
      <c r="C97" s="2"/>
      <c r="D97" s="1"/>
      <c r="E97" s="1"/>
      <c r="F97" s="3"/>
      <c r="G97" s="4"/>
      <c r="H97" s="5"/>
      <c r="I97" s="6"/>
      <c r="J97" s="41"/>
      <c r="K97" s="41"/>
      <c r="L97" s="41"/>
      <c r="M97" s="41"/>
      <c r="N97" s="41"/>
      <c r="O97" s="50"/>
      <c r="P97" s="50"/>
      <c r="Q97" s="50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0"/>
      <c r="AY97" s="1"/>
      <c r="AZ97" s="1"/>
      <c r="BA97" s="11"/>
      <c r="BB97" s="11"/>
    </row>
    <row r="98" spans="1:54" x14ac:dyDescent="0.15">
      <c r="A98" s="1"/>
      <c r="B98" s="1"/>
      <c r="C98" s="2"/>
      <c r="D98" s="1"/>
      <c r="E98" s="1"/>
      <c r="F98" s="3"/>
      <c r="G98" s="4"/>
      <c r="H98" s="5"/>
      <c r="I98" s="6"/>
      <c r="J98" s="41"/>
      <c r="K98" s="41"/>
      <c r="L98" s="41"/>
      <c r="M98" s="41"/>
      <c r="N98" s="41"/>
      <c r="O98" s="50"/>
      <c r="P98" s="50"/>
      <c r="Q98" s="50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0"/>
      <c r="AY98" s="1"/>
      <c r="AZ98" s="1"/>
      <c r="BA98" s="11"/>
      <c r="BB98" s="11"/>
    </row>
    <row r="99" spans="1:54" x14ac:dyDescent="0.15">
      <c r="A99" s="1"/>
      <c r="B99" s="1"/>
      <c r="C99" s="2"/>
      <c r="D99" s="1"/>
      <c r="E99" s="1"/>
      <c r="F99" s="3"/>
      <c r="G99" s="4"/>
      <c r="H99" s="5"/>
      <c r="I99" s="6"/>
      <c r="J99" s="41"/>
      <c r="K99" s="41"/>
      <c r="L99" s="41"/>
      <c r="M99" s="41"/>
      <c r="N99" s="41"/>
      <c r="O99" s="50"/>
      <c r="P99" s="50"/>
      <c r="Q99" s="50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0"/>
      <c r="AY99" s="1"/>
      <c r="AZ99" s="1"/>
      <c r="BA99" s="11"/>
      <c r="BB99" s="11"/>
    </row>
    <row r="100" spans="1:54" x14ac:dyDescent="0.15">
      <c r="A100" s="1"/>
      <c r="B100" s="1"/>
      <c r="C100" s="2"/>
      <c r="D100" s="1"/>
      <c r="E100" s="1"/>
      <c r="F100" s="3"/>
      <c r="G100" s="4"/>
      <c r="H100" s="5"/>
      <c r="I100" s="6"/>
      <c r="J100" s="41"/>
      <c r="K100" s="41"/>
      <c r="L100" s="41"/>
      <c r="M100" s="41"/>
      <c r="N100" s="41"/>
      <c r="O100" s="50"/>
      <c r="P100" s="50"/>
      <c r="Q100" s="50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0"/>
      <c r="AY100" s="1"/>
      <c r="AZ100" s="1"/>
      <c r="BA100" s="11"/>
      <c r="BB100" s="11"/>
    </row>
    <row r="101" spans="1:54" x14ac:dyDescent="0.15">
      <c r="A101" s="1"/>
      <c r="B101" s="1"/>
      <c r="C101" s="2"/>
      <c r="D101" s="1"/>
      <c r="E101" s="1"/>
      <c r="F101" s="3"/>
      <c r="G101" s="4"/>
      <c r="H101" s="5"/>
      <c r="I101" s="6"/>
      <c r="J101" s="41"/>
      <c r="K101" s="41"/>
      <c r="L101" s="41"/>
      <c r="M101" s="41"/>
      <c r="N101" s="41"/>
      <c r="O101" s="50"/>
      <c r="P101" s="50"/>
      <c r="Q101" s="50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0"/>
      <c r="AY101" s="1"/>
      <c r="AZ101" s="1"/>
      <c r="BA101" s="11"/>
      <c r="BB101" s="11"/>
    </row>
    <row r="102" spans="1:54" x14ac:dyDescent="0.15">
      <c r="A102" s="1"/>
      <c r="B102" s="1"/>
      <c r="C102" s="2"/>
      <c r="D102" s="1"/>
      <c r="E102" s="1"/>
      <c r="F102" s="3"/>
      <c r="G102" s="4"/>
      <c r="H102" s="5"/>
      <c r="I102" s="6"/>
      <c r="J102" s="41"/>
      <c r="K102" s="41"/>
      <c r="L102" s="41"/>
      <c r="M102" s="41"/>
      <c r="N102" s="41"/>
      <c r="O102" s="50"/>
      <c r="P102" s="50"/>
      <c r="Q102" s="50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0"/>
      <c r="AY102" s="1"/>
      <c r="AZ102" s="1"/>
      <c r="BA102" s="11"/>
      <c r="BB102" s="11"/>
    </row>
    <row r="103" spans="1:54" x14ac:dyDescent="0.15">
      <c r="A103" s="1"/>
      <c r="B103" s="1"/>
      <c r="C103" s="2"/>
      <c r="D103" s="1"/>
      <c r="E103" s="1"/>
      <c r="F103" s="3"/>
      <c r="G103" s="4"/>
      <c r="H103" s="5"/>
      <c r="I103" s="6"/>
      <c r="J103" s="41"/>
      <c r="K103" s="41"/>
      <c r="L103" s="41"/>
      <c r="M103" s="41"/>
      <c r="N103" s="41"/>
      <c r="O103" s="50"/>
      <c r="P103" s="50"/>
      <c r="Q103" s="50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0"/>
      <c r="AY103" s="1"/>
      <c r="AZ103" s="1"/>
      <c r="BA103" s="11"/>
      <c r="BB103" s="11"/>
    </row>
    <row r="104" spans="1:54" x14ac:dyDescent="0.15">
      <c r="A104" s="1"/>
      <c r="B104" s="1"/>
      <c r="C104" s="2"/>
      <c r="D104" s="1"/>
      <c r="E104" s="1"/>
      <c r="F104" s="3"/>
      <c r="G104" s="4"/>
      <c r="H104" s="5"/>
      <c r="I104" s="6"/>
      <c r="J104" s="41"/>
      <c r="K104" s="41"/>
      <c r="L104" s="41"/>
      <c r="M104" s="41"/>
      <c r="N104" s="41"/>
      <c r="O104" s="50"/>
      <c r="P104" s="50"/>
      <c r="Q104" s="50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0"/>
      <c r="AY104" s="1"/>
      <c r="AZ104" s="1"/>
      <c r="BA104" s="11"/>
      <c r="BB104" s="11"/>
    </row>
    <row r="105" spans="1:54" x14ac:dyDescent="0.15">
      <c r="A105" s="1"/>
      <c r="B105" s="1"/>
      <c r="C105" s="2"/>
      <c r="D105" s="1"/>
      <c r="E105" s="1"/>
      <c r="F105" s="3"/>
      <c r="G105" s="4"/>
      <c r="H105" s="5"/>
      <c r="I105" s="6"/>
      <c r="J105" s="41"/>
      <c r="K105" s="41"/>
      <c r="L105" s="41"/>
      <c r="M105" s="41"/>
      <c r="N105" s="41"/>
      <c r="O105" s="50"/>
      <c r="P105" s="50"/>
      <c r="Q105" s="50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0"/>
      <c r="AY105" s="1"/>
      <c r="AZ105" s="1"/>
      <c r="BA105" s="11"/>
      <c r="BB105" s="11"/>
    </row>
    <row r="106" spans="1:54" x14ac:dyDescent="0.15">
      <c r="A106" s="1"/>
      <c r="B106" s="1"/>
      <c r="C106" s="2"/>
      <c r="D106" s="1"/>
      <c r="E106" s="1"/>
      <c r="F106" s="3"/>
      <c r="G106" s="4"/>
      <c r="H106" s="5"/>
      <c r="I106" s="6"/>
      <c r="J106" s="41"/>
      <c r="K106" s="41"/>
      <c r="L106" s="41"/>
      <c r="M106" s="41"/>
      <c r="N106" s="41"/>
      <c r="O106" s="50"/>
      <c r="P106" s="50"/>
      <c r="Q106" s="50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0"/>
      <c r="AY106" s="1"/>
      <c r="AZ106" s="1"/>
      <c r="BA106" s="11"/>
      <c r="BB106" s="11"/>
    </row>
    <row r="107" spans="1:54" x14ac:dyDescent="0.15">
      <c r="A107" s="1"/>
      <c r="B107" s="1"/>
      <c r="C107" s="2"/>
      <c r="D107" s="1"/>
      <c r="E107" s="1"/>
      <c r="F107" s="3"/>
      <c r="G107" s="4"/>
      <c r="H107" s="5"/>
      <c r="I107" s="6"/>
      <c r="J107" s="41"/>
      <c r="K107" s="41"/>
      <c r="L107" s="41"/>
      <c r="M107" s="41"/>
      <c r="N107" s="41"/>
      <c r="O107" s="50"/>
      <c r="P107" s="50"/>
      <c r="Q107" s="50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0"/>
      <c r="AY107" s="1"/>
      <c r="AZ107" s="1"/>
      <c r="BA107" s="11"/>
      <c r="BB107" s="11"/>
    </row>
    <row r="108" spans="1:54" x14ac:dyDescent="0.15">
      <c r="A108" s="1"/>
      <c r="B108" s="1"/>
      <c r="C108" s="2"/>
      <c r="D108" s="1"/>
      <c r="E108" s="1"/>
      <c r="F108" s="3"/>
      <c r="G108" s="4"/>
      <c r="H108" s="5"/>
      <c r="I108" s="6"/>
      <c r="J108" s="41"/>
      <c r="K108" s="41"/>
      <c r="L108" s="41"/>
      <c r="M108" s="41"/>
      <c r="N108" s="41"/>
      <c r="O108" s="50"/>
      <c r="P108" s="50"/>
      <c r="Q108" s="50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0"/>
      <c r="AY108" s="1"/>
      <c r="AZ108" s="1"/>
      <c r="BA108" s="11"/>
      <c r="BB108" s="11"/>
    </row>
    <row r="109" spans="1:54" x14ac:dyDescent="0.15">
      <c r="A109" s="1"/>
      <c r="B109" s="1"/>
      <c r="C109" s="2"/>
      <c r="D109" s="1"/>
      <c r="E109" s="1"/>
      <c r="F109" s="3"/>
      <c r="G109" s="4"/>
      <c r="H109" s="5"/>
      <c r="I109" s="6"/>
      <c r="J109" s="41"/>
      <c r="K109" s="41"/>
      <c r="L109" s="41"/>
      <c r="M109" s="41"/>
      <c r="N109" s="41"/>
      <c r="O109" s="50"/>
      <c r="P109" s="50"/>
      <c r="Q109" s="50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0"/>
      <c r="AY109" s="1"/>
      <c r="AZ109" s="1"/>
      <c r="BA109" s="11"/>
      <c r="BB109" s="11"/>
    </row>
    <row r="110" spans="1:54" x14ac:dyDescent="0.15">
      <c r="A110" s="1"/>
      <c r="B110" s="1"/>
      <c r="C110" s="2"/>
      <c r="D110" s="1"/>
      <c r="E110" s="1"/>
      <c r="F110" s="3"/>
      <c r="G110" s="4"/>
      <c r="H110" s="5"/>
      <c r="I110" s="6"/>
      <c r="J110" s="41"/>
      <c r="K110" s="41"/>
      <c r="L110" s="41"/>
      <c r="M110" s="41"/>
      <c r="N110" s="41"/>
      <c r="O110" s="50"/>
      <c r="P110" s="50"/>
      <c r="Q110" s="50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0"/>
      <c r="AY110" s="1"/>
      <c r="AZ110" s="1"/>
      <c r="BA110" s="11"/>
      <c r="BB110" s="11"/>
    </row>
    <row r="111" spans="1:54" x14ac:dyDescent="0.15">
      <c r="A111" s="1"/>
      <c r="B111" s="1"/>
      <c r="C111" s="2"/>
      <c r="D111" s="1"/>
      <c r="E111" s="1"/>
      <c r="F111" s="3"/>
      <c r="G111" s="4"/>
      <c r="H111" s="5"/>
      <c r="I111" s="6"/>
      <c r="J111" s="41"/>
      <c r="K111" s="41"/>
      <c r="L111" s="41"/>
      <c r="M111" s="41"/>
      <c r="N111" s="41"/>
      <c r="O111" s="50"/>
      <c r="P111" s="50"/>
      <c r="Q111" s="50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0"/>
      <c r="AY111" s="1"/>
      <c r="AZ111" s="1"/>
      <c r="BA111" s="11"/>
      <c r="BB111" s="11"/>
    </row>
    <row r="112" spans="1:54" x14ac:dyDescent="0.15">
      <c r="A112" s="1"/>
      <c r="B112" s="1"/>
      <c r="C112" s="2"/>
      <c r="D112" s="1"/>
      <c r="E112" s="1"/>
      <c r="F112" s="3"/>
      <c r="G112" s="4"/>
      <c r="H112" s="5"/>
      <c r="I112" s="6"/>
      <c r="J112" s="41"/>
      <c r="K112" s="41"/>
      <c r="L112" s="41"/>
      <c r="M112" s="41"/>
      <c r="N112" s="41"/>
      <c r="O112" s="50"/>
      <c r="P112" s="50"/>
      <c r="Q112" s="50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0"/>
      <c r="AY112" s="1"/>
      <c r="AZ112" s="1"/>
      <c r="BA112" s="11"/>
      <c r="BB112" s="11"/>
    </row>
    <row r="113" spans="1:54" x14ac:dyDescent="0.15">
      <c r="A113" s="1"/>
      <c r="B113" s="1"/>
      <c r="C113" s="2"/>
      <c r="D113" s="1"/>
      <c r="E113" s="1"/>
      <c r="F113" s="3"/>
      <c r="G113" s="4"/>
      <c r="H113" s="5"/>
      <c r="I113" s="6"/>
      <c r="J113" s="41"/>
      <c r="K113" s="41"/>
      <c r="L113" s="41"/>
      <c r="M113" s="41"/>
      <c r="N113" s="41"/>
      <c r="O113" s="50"/>
      <c r="P113" s="50"/>
      <c r="Q113" s="50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0"/>
      <c r="AY113" s="1"/>
      <c r="AZ113" s="1"/>
      <c r="BA113" s="11"/>
      <c r="BB113" s="11"/>
    </row>
    <row r="114" spans="1:54" x14ac:dyDescent="0.15">
      <c r="A114" s="1"/>
      <c r="B114" s="1"/>
      <c r="C114" s="2"/>
      <c r="D114" s="1"/>
      <c r="E114" s="1"/>
      <c r="F114" s="3"/>
      <c r="G114" s="4"/>
      <c r="H114" s="5"/>
      <c r="I114" s="6"/>
      <c r="J114" s="41"/>
      <c r="K114" s="41"/>
      <c r="L114" s="41"/>
      <c r="M114" s="41"/>
      <c r="N114" s="41"/>
      <c r="O114" s="50"/>
      <c r="P114" s="50"/>
      <c r="Q114" s="50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0"/>
      <c r="AY114" s="1"/>
      <c r="AZ114" s="1"/>
      <c r="BA114" s="11"/>
      <c r="BB114" s="11"/>
    </row>
    <row r="115" spans="1:54" x14ac:dyDescent="0.15">
      <c r="A115" s="1"/>
      <c r="B115" s="1"/>
      <c r="C115" s="2"/>
      <c r="D115" s="1"/>
      <c r="E115" s="1"/>
      <c r="F115" s="3"/>
      <c r="G115" s="4"/>
      <c r="H115" s="5"/>
      <c r="I115" s="6"/>
      <c r="J115" s="41"/>
      <c r="K115" s="41"/>
      <c r="L115" s="41"/>
      <c r="M115" s="41"/>
      <c r="N115" s="41"/>
      <c r="O115" s="50"/>
      <c r="P115" s="50"/>
      <c r="Q115" s="50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0"/>
      <c r="AY115" s="1"/>
      <c r="AZ115" s="1"/>
      <c r="BA115" s="11"/>
      <c r="BB115" s="11"/>
    </row>
    <row r="116" spans="1:54" x14ac:dyDescent="0.15">
      <c r="A116" s="1"/>
      <c r="B116" s="1"/>
      <c r="C116" s="2"/>
      <c r="D116" s="1"/>
      <c r="E116" s="1"/>
      <c r="F116" s="3"/>
      <c r="G116" s="4"/>
      <c r="H116" s="5"/>
      <c r="I116" s="6"/>
      <c r="J116" s="41"/>
      <c r="K116" s="41"/>
      <c r="L116" s="41"/>
      <c r="M116" s="41"/>
      <c r="N116" s="41"/>
      <c r="O116" s="50"/>
      <c r="P116" s="50"/>
      <c r="Q116" s="50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0"/>
      <c r="AY116" s="1"/>
      <c r="AZ116" s="1"/>
      <c r="BA116" s="11"/>
      <c r="BB116" s="11"/>
    </row>
    <row r="117" spans="1:54" x14ac:dyDescent="0.15">
      <c r="A117" s="1"/>
      <c r="B117" s="1"/>
      <c r="C117" s="2"/>
      <c r="D117" s="1"/>
      <c r="E117" s="1"/>
      <c r="F117" s="3"/>
      <c r="G117" s="4"/>
      <c r="H117" s="5"/>
      <c r="I117" s="6"/>
      <c r="J117" s="41"/>
      <c r="K117" s="41"/>
      <c r="L117" s="41"/>
      <c r="M117" s="41"/>
      <c r="N117" s="41"/>
      <c r="O117" s="50"/>
      <c r="P117" s="50"/>
      <c r="Q117" s="50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0"/>
      <c r="AY117" s="1"/>
      <c r="AZ117" s="1"/>
      <c r="BA117" s="11"/>
      <c r="BB117" s="11"/>
    </row>
    <row r="118" spans="1:54" x14ac:dyDescent="0.15">
      <c r="A118" s="1"/>
      <c r="B118" s="1"/>
      <c r="C118" s="2"/>
      <c r="D118" s="1"/>
      <c r="E118" s="1"/>
      <c r="F118" s="3"/>
      <c r="G118" s="4"/>
      <c r="H118" s="5"/>
      <c r="I118" s="6"/>
      <c r="J118" s="41"/>
      <c r="K118" s="41"/>
      <c r="L118" s="41"/>
      <c r="M118" s="41"/>
      <c r="N118" s="41"/>
      <c r="O118" s="50"/>
      <c r="P118" s="50"/>
      <c r="Q118" s="50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0"/>
      <c r="AY118" s="1"/>
      <c r="AZ118" s="1"/>
      <c r="BA118" s="11"/>
      <c r="BB118" s="11"/>
    </row>
    <row r="119" spans="1:54" x14ac:dyDescent="0.15">
      <c r="A119" s="1"/>
      <c r="B119" s="1"/>
      <c r="C119" s="2"/>
      <c r="D119" s="1"/>
      <c r="E119" s="1"/>
      <c r="F119" s="3"/>
      <c r="G119" s="4"/>
      <c r="H119" s="5"/>
      <c r="I119" s="6"/>
      <c r="J119" s="41"/>
      <c r="K119" s="41"/>
      <c r="L119" s="41"/>
      <c r="M119" s="41"/>
      <c r="N119" s="41"/>
      <c r="O119" s="50"/>
      <c r="P119" s="50"/>
      <c r="Q119" s="50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0"/>
      <c r="AY119" s="1"/>
      <c r="AZ119" s="1"/>
      <c r="BA119" s="11"/>
      <c r="BB119" s="11"/>
    </row>
    <row r="120" spans="1:54" x14ac:dyDescent="0.15">
      <c r="A120" s="1"/>
      <c r="B120" s="1"/>
      <c r="C120" s="2"/>
      <c r="D120" s="1"/>
      <c r="E120" s="1"/>
      <c r="F120" s="3"/>
      <c r="G120" s="4"/>
      <c r="H120" s="5"/>
      <c r="I120" s="6"/>
      <c r="J120" s="41"/>
      <c r="K120" s="41"/>
      <c r="L120" s="41"/>
      <c r="M120" s="41"/>
      <c r="N120" s="41"/>
      <c r="O120" s="50"/>
      <c r="P120" s="50"/>
      <c r="Q120" s="50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0"/>
      <c r="AY120" s="1"/>
      <c r="AZ120" s="1"/>
      <c r="BA120" s="11"/>
      <c r="BB120" s="11"/>
    </row>
    <row r="121" spans="1:54" x14ac:dyDescent="0.15">
      <c r="A121" s="1"/>
      <c r="B121" s="1"/>
      <c r="C121" s="2"/>
      <c r="D121" s="1"/>
      <c r="E121" s="1"/>
      <c r="F121" s="3"/>
      <c r="G121" s="4"/>
      <c r="H121" s="5"/>
      <c r="I121" s="6"/>
      <c r="J121" s="41"/>
      <c r="K121" s="41"/>
      <c r="L121" s="41"/>
      <c r="M121" s="41"/>
      <c r="N121" s="41"/>
      <c r="O121" s="50"/>
      <c r="P121" s="50"/>
      <c r="Q121" s="50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0"/>
      <c r="AY121" s="1"/>
      <c r="AZ121" s="1"/>
      <c r="BA121" s="11"/>
      <c r="BB121" s="11"/>
    </row>
    <row r="122" spans="1:54" x14ac:dyDescent="0.15">
      <c r="A122" s="1"/>
      <c r="B122" s="1"/>
      <c r="C122" s="2"/>
      <c r="D122" s="1"/>
      <c r="E122" s="1"/>
      <c r="F122" s="3"/>
      <c r="G122" s="4"/>
      <c r="H122" s="5"/>
      <c r="I122" s="6"/>
      <c r="J122" s="41"/>
      <c r="K122" s="41"/>
      <c r="L122" s="41"/>
      <c r="M122" s="41"/>
      <c r="N122" s="41"/>
      <c r="O122" s="50"/>
      <c r="P122" s="50"/>
      <c r="Q122" s="50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0"/>
      <c r="AY122" s="1"/>
      <c r="AZ122" s="1"/>
      <c r="BA122" s="11"/>
      <c r="BB122" s="11"/>
    </row>
    <row r="123" spans="1:54" x14ac:dyDescent="0.15">
      <c r="A123" s="1"/>
      <c r="B123" s="1"/>
      <c r="C123" s="2"/>
      <c r="D123" s="1"/>
      <c r="E123" s="1"/>
      <c r="F123" s="3"/>
      <c r="G123" s="4"/>
      <c r="H123" s="5"/>
      <c r="I123" s="6"/>
      <c r="J123" s="41"/>
      <c r="K123" s="41"/>
      <c r="L123" s="41"/>
      <c r="M123" s="41"/>
      <c r="N123" s="41"/>
      <c r="O123" s="50"/>
      <c r="P123" s="50"/>
      <c r="Q123" s="50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0"/>
      <c r="AY123" s="1"/>
      <c r="AZ123" s="1"/>
      <c r="BA123" s="11"/>
      <c r="BB123" s="11"/>
    </row>
    <row r="124" spans="1:54" x14ac:dyDescent="0.15">
      <c r="A124" s="1"/>
      <c r="B124" s="1"/>
      <c r="C124" s="2"/>
      <c r="D124" s="1"/>
      <c r="E124" s="1"/>
      <c r="F124" s="3"/>
      <c r="G124" s="4"/>
      <c r="H124" s="5"/>
      <c r="I124" s="6"/>
      <c r="J124" s="41"/>
      <c r="K124" s="41"/>
      <c r="L124" s="41"/>
      <c r="M124" s="41"/>
      <c r="N124" s="41"/>
      <c r="O124" s="50"/>
      <c r="P124" s="50"/>
      <c r="Q124" s="50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0"/>
      <c r="AY124" s="1"/>
      <c r="AZ124" s="1"/>
      <c r="BA124" s="11"/>
      <c r="BB124" s="11"/>
    </row>
    <row r="125" spans="1:54" x14ac:dyDescent="0.15">
      <c r="A125" s="1"/>
      <c r="B125" s="1"/>
      <c r="C125" s="2"/>
      <c r="D125" s="1"/>
      <c r="E125" s="1"/>
      <c r="F125" s="3"/>
      <c r="G125" s="4"/>
      <c r="H125" s="5"/>
      <c r="I125" s="6"/>
      <c r="J125" s="41"/>
      <c r="K125" s="41"/>
      <c r="L125" s="41"/>
      <c r="M125" s="41"/>
      <c r="N125" s="41"/>
      <c r="O125" s="50"/>
      <c r="P125" s="50"/>
      <c r="Q125" s="50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0"/>
      <c r="AY125" s="1"/>
      <c r="AZ125" s="1"/>
      <c r="BA125" s="11"/>
      <c r="BB125" s="11"/>
    </row>
    <row r="126" spans="1:54" x14ac:dyDescent="0.15">
      <c r="A126" s="1"/>
      <c r="B126" s="1"/>
      <c r="C126" s="2"/>
      <c r="D126" s="1"/>
      <c r="E126" s="1"/>
      <c r="F126" s="3"/>
      <c r="G126" s="4"/>
      <c r="H126" s="5"/>
      <c r="I126" s="6"/>
      <c r="J126" s="41"/>
      <c r="K126" s="41"/>
      <c r="L126" s="41"/>
      <c r="M126" s="41"/>
      <c r="N126" s="41"/>
      <c r="O126" s="50"/>
      <c r="P126" s="50"/>
      <c r="Q126" s="50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0"/>
      <c r="AY126" s="1"/>
      <c r="AZ126" s="1"/>
      <c r="BA126" s="11"/>
      <c r="BB126" s="11"/>
    </row>
    <row r="127" spans="1:54" x14ac:dyDescent="0.15">
      <c r="A127" s="1"/>
      <c r="B127" s="1"/>
      <c r="C127" s="2"/>
      <c r="D127" s="1"/>
      <c r="E127" s="1"/>
      <c r="F127" s="3"/>
      <c r="G127" s="4"/>
      <c r="H127" s="5"/>
      <c r="I127" s="6"/>
      <c r="J127" s="41"/>
      <c r="K127" s="41"/>
      <c r="L127" s="41"/>
      <c r="M127" s="41"/>
      <c r="N127" s="41"/>
      <c r="O127" s="50"/>
      <c r="P127" s="50"/>
      <c r="Q127" s="50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0"/>
      <c r="AY127" s="1"/>
      <c r="AZ127" s="1"/>
      <c r="BA127" s="11"/>
      <c r="BB127" s="11"/>
    </row>
    <row r="128" spans="1:54" x14ac:dyDescent="0.15">
      <c r="A128" s="1"/>
      <c r="B128" s="1"/>
      <c r="C128" s="2"/>
      <c r="D128" s="1"/>
      <c r="E128" s="1"/>
      <c r="F128" s="3"/>
      <c r="G128" s="4"/>
      <c r="H128" s="5"/>
      <c r="I128" s="6"/>
      <c r="J128" s="41"/>
      <c r="K128" s="41"/>
      <c r="L128" s="41"/>
      <c r="M128" s="41"/>
      <c r="N128" s="41"/>
      <c r="O128" s="50"/>
      <c r="P128" s="50"/>
      <c r="Q128" s="50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0"/>
      <c r="AY128" s="1"/>
      <c r="AZ128" s="1"/>
      <c r="BA128" s="11"/>
      <c r="BB128" s="11"/>
    </row>
    <row r="129" spans="1:54" x14ac:dyDescent="0.15">
      <c r="A129" s="1"/>
      <c r="B129" s="1"/>
      <c r="C129" s="2"/>
      <c r="D129" s="1"/>
      <c r="E129" s="1"/>
      <c r="F129" s="3"/>
      <c r="G129" s="4"/>
      <c r="H129" s="5"/>
      <c r="I129" s="6"/>
      <c r="J129" s="41"/>
      <c r="K129" s="41"/>
      <c r="L129" s="41"/>
      <c r="M129" s="41"/>
      <c r="N129" s="41"/>
      <c r="O129" s="50"/>
      <c r="P129" s="50"/>
      <c r="Q129" s="50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0"/>
      <c r="AY129" s="1"/>
      <c r="AZ129" s="1"/>
      <c r="BA129" s="11"/>
      <c r="BB129" s="11"/>
    </row>
    <row r="130" spans="1:54" x14ac:dyDescent="0.15">
      <c r="A130" s="1"/>
      <c r="B130" s="1"/>
      <c r="C130" s="2"/>
      <c r="D130" s="1"/>
      <c r="E130" s="1"/>
      <c r="F130" s="3"/>
      <c r="G130" s="4"/>
      <c r="H130" s="5"/>
      <c r="I130" s="6"/>
      <c r="J130" s="41"/>
      <c r="K130" s="41"/>
      <c r="L130" s="41"/>
      <c r="M130" s="41"/>
      <c r="N130" s="41"/>
      <c r="O130" s="50"/>
      <c r="P130" s="50"/>
      <c r="Q130" s="50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0"/>
      <c r="AY130" s="1"/>
      <c r="AZ130" s="1"/>
      <c r="BA130" s="11"/>
      <c r="BB130" s="11"/>
    </row>
    <row r="131" spans="1:54" x14ac:dyDescent="0.15">
      <c r="A131" s="1"/>
      <c r="B131" s="1"/>
      <c r="C131" s="2"/>
      <c r="D131" s="1"/>
      <c r="E131" s="1"/>
      <c r="F131" s="3"/>
      <c r="G131" s="4"/>
      <c r="H131" s="5"/>
      <c r="I131" s="6"/>
      <c r="J131" s="41"/>
      <c r="K131" s="41"/>
      <c r="L131" s="41"/>
      <c r="M131" s="41"/>
      <c r="N131" s="41"/>
      <c r="O131" s="50"/>
      <c r="P131" s="50"/>
      <c r="Q131" s="50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0"/>
      <c r="AY131" s="1"/>
      <c r="AZ131" s="1"/>
      <c r="BA131" s="11"/>
      <c r="BB131" s="11"/>
    </row>
    <row r="132" spans="1:54" x14ac:dyDescent="0.15">
      <c r="A132" s="1"/>
      <c r="B132" s="1"/>
      <c r="C132" s="2"/>
      <c r="D132" s="1"/>
      <c r="E132" s="1"/>
      <c r="F132" s="3"/>
      <c r="G132" s="4"/>
      <c r="H132" s="5"/>
      <c r="I132" s="6"/>
      <c r="J132" s="41"/>
      <c r="K132" s="41"/>
      <c r="L132" s="41"/>
      <c r="M132" s="41"/>
      <c r="N132" s="41"/>
      <c r="O132" s="50"/>
      <c r="P132" s="50"/>
      <c r="Q132" s="50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0"/>
      <c r="AY132" s="1"/>
      <c r="AZ132" s="1"/>
      <c r="BA132" s="11"/>
      <c r="BB132" s="11"/>
    </row>
    <row r="133" spans="1:54" x14ac:dyDescent="0.15">
      <c r="A133" s="1"/>
      <c r="B133" s="1"/>
      <c r="C133" s="2"/>
      <c r="D133" s="1"/>
      <c r="E133" s="1"/>
      <c r="F133" s="3"/>
      <c r="G133" s="4"/>
      <c r="H133" s="5"/>
      <c r="I133" s="6"/>
      <c r="J133" s="41"/>
      <c r="K133" s="41"/>
      <c r="L133" s="41"/>
      <c r="M133" s="41"/>
      <c r="N133" s="41"/>
      <c r="O133" s="50"/>
      <c r="P133" s="50"/>
      <c r="Q133" s="50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0"/>
      <c r="AY133" s="1"/>
      <c r="AZ133" s="1"/>
      <c r="BA133" s="11"/>
      <c r="BB133" s="11"/>
    </row>
    <row r="134" spans="1:54" x14ac:dyDescent="0.15">
      <c r="A134" s="1"/>
      <c r="B134" s="1"/>
      <c r="C134" s="2"/>
      <c r="D134" s="1"/>
      <c r="E134" s="1"/>
      <c r="F134" s="3"/>
      <c r="G134" s="4"/>
      <c r="H134" s="5"/>
      <c r="I134" s="6"/>
      <c r="J134" s="41"/>
      <c r="K134" s="41"/>
      <c r="L134" s="41"/>
      <c r="M134" s="41"/>
      <c r="N134" s="41"/>
      <c r="O134" s="50"/>
      <c r="P134" s="50"/>
      <c r="Q134" s="50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0"/>
      <c r="AY134" s="1"/>
      <c r="AZ134" s="1"/>
      <c r="BA134" s="11"/>
      <c r="BB134" s="11"/>
    </row>
    <row r="135" spans="1:54" x14ac:dyDescent="0.15">
      <c r="A135" s="1"/>
      <c r="B135" s="1"/>
      <c r="C135" s="2"/>
      <c r="D135" s="1"/>
      <c r="E135" s="1"/>
      <c r="F135" s="3"/>
      <c r="G135" s="4"/>
      <c r="H135" s="5"/>
      <c r="I135" s="6"/>
      <c r="J135" s="41"/>
      <c r="K135" s="41"/>
      <c r="L135" s="41"/>
      <c r="M135" s="41"/>
      <c r="N135" s="41"/>
      <c r="O135" s="50"/>
      <c r="P135" s="50"/>
      <c r="Q135" s="50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0"/>
      <c r="AY135" s="1"/>
      <c r="AZ135" s="1"/>
      <c r="BA135" s="11"/>
      <c r="BB135" s="11"/>
    </row>
    <row r="136" spans="1:54" x14ac:dyDescent="0.15">
      <c r="A136" s="1"/>
      <c r="B136" s="1"/>
      <c r="C136" s="2"/>
      <c r="D136" s="1"/>
      <c r="E136" s="1"/>
      <c r="F136" s="3"/>
      <c r="G136" s="4"/>
      <c r="H136" s="5"/>
      <c r="I136" s="6"/>
      <c r="J136" s="41"/>
      <c r="K136" s="41"/>
      <c r="L136" s="41"/>
      <c r="M136" s="41"/>
      <c r="N136" s="41"/>
      <c r="O136" s="50"/>
      <c r="P136" s="50"/>
      <c r="Q136" s="50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0"/>
      <c r="AY136" s="1"/>
      <c r="AZ136" s="1"/>
      <c r="BA136" s="11"/>
      <c r="BB136" s="11"/>
    </row>
    <row r="137" spans="1:54" x14ac:dyDescent="0.15">
      <c r="A137" s="1"/>
      <c r="B137" s="1"/>
      <c r="C137" s="2"/>
      <c r="D137" s="1"/>
      <c r="E137" s="1"/>
      <c r="F137" s="3"/>
      <c r="G137" s="4"/>
      <c r="H137" s="5"/>
      <c r="I137" s="6"/>
      <c r="J137" s="41"/>
      <c r="K137" s="41"/>
      <c r="L137" s="41"/>
      <c r="M137" s="41"/>
      <c r="N137" s="41"/>
      <c r="O137" s="50"/>
      <c r="P137" s="50"/>
      <c r="Q137" s="50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0"/>
      <c r="AY137" s="1"/>
      <c r="AZ137" s="1"/>
      <c r="BA137" s="11"/>
      <c r="BB137" s="11"/>
    </row>
    <row r="138" spans="1:54" x14ac:dyDescent="0.15">
      <c r="A138" s="1"/>
      <c r="B138" s="1"/>
      <c r="C138" s="2"/>
      <c r="D138" s="1"/>
      <c r="E138" s="1"/>
      <c r="F138" s="3"/>
      <c r="G138" s="4"/>
      <c r="H138" s="5"/>
      <c r="I138" s="6"/>
      <c r="J138" s="41"/>
      <c r="K138" s="41"/>
      <c r="L138" s="41"/>
      <c r="M138" s="41"/>
      <c r="N138" s="41"/>
      <c r="O138" s="50"/>
      <c r="P138" s="50"/>
      <c r="Q138" s="50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0"/>
      <c r="AY138" s="1"/>
      <c r="AZ138" s="1"/>
      <c r="BA138" s="11"/>
      <c r="BB138" s="11"/>
    </row>
    <row r="139" spans="1:54" x14ac:dyDescent="0.15">
      <c r="A139" s="1"/>
      <c r="B139" s="1"/>
      <c r="C139" s="2"/>
      <c r="D139" s="1"/>
      <c r="E139" s="1"/>
      <c r="F139" s="3"/>
      <c r="G139" s="4"/>
      <c r="H139" s="5"/>
      <c r="I139" s="6"/>
      <c r="J139" s="41"/>
      <c r="K139" s="41"/>
      <c r="L139" s="41"/>
      <c r="M139" s="41"/>
      <c r="N139" s="41"/>
      <c r="O139" s="50"/>
      <c r="P139" s="50"/>
      <c r="Q139" s="50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0"/>
      <c r="AY139" s="1"/>
      <c r="AZ139" s="1"/>
      <c r="BA139" s="11"/>
      <c r="BB139" s="11"/>
    </row>
    <row r="140" spans="1:54" x14ac:dyDescent="0.15">
      <c r="A140" s="1"/>
      <c r="B140" s="1"/>
      <c r="C140" s="2"/>
      <c r="D140" s="1"/>
      <c r="E140" s="1"/>
      <c r="F140" s="3"/>
      <c r="G140" s="4"/>
      <c r="H140" s="5"/>
      <c r="I140" s="6"/>
      <c r="J140" s="41"/>
      <c r="K140" s="41"/>
      <c r="L140" s="41"/>
      <c r="M140" s="41"/>
      <c r="N140" s="41"/>
      <c r="O140" s="50"/>
      <c r="P140" s="50"/>
      <c r="Q140" s="50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0"/>
      <c r="AY140" s="1"/>
      <c r="AZ140" s="1"/>
      <c r="BA140" s="11"/>
      <c r="BB140" s="11"/>
    </row>
    <row r="141" spans="1:54" x14ac:dyDescent="0.15">
      <c r="A141" s="1"/>
      <c r="B141" s="1"/>
      <c r="C141" s="2"/>
      <c r="D141" s="1"/>
      <c r="E141" s="1"/>
      <c r="F141" s="3"/>
      <c r="G141" s="4"/>
      <c r="H141" s="5"/>
      <c r="I141" s="6"/>
      <c r="J141" s="41"/>
      <c r="K141" s="41"/>
      <c r="L141" s="41"/>
      <c r="M141" s="41"/>
      <c r="N141" s="41"/>
      <c r="O141" s="50"/>
      <c r="P141" s="50"/>
      <c r="Q141" s="50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0"/>
      <c r="AY141" s="1"/>
      <c r="AZ141" s="1"/>
      <c r="BA141" s="11"/>
      <c r="BB141" s="11"/>
    </row>
    <row r="142" spans="1:54" x14ac:dyDescent="0.15">
      <c r="A142" s="1"/>
      <c r="B142" s="1"/>
      <c r="C142" s="2"/>
      <c r="D142" s="1"/>
      <c r="E142" s="1"/>
      <c r="F142" s="3"/>
      <c r="G142" s="4"/>
      <c r="H142" s="5"/>
      <c r="I142" s="6"/>
      <c r="J142" s="41"/>
      <c r="K142" s="41"/>
      <c r="L142" s="41"/>
      <c r="M142" s="41"/>
      <c r="N142" s="41"/>
      <c r="O142" s="50"/>
      <c r="P142" s="50"/>
      <c r="Q142" s="50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0"/>
      <c r="AY142" s="1"/>
      <c r="AZ142" s="1"/>
      <c r="BA142" s="11"/>
      <c r="BB142" s="11"/>
    </row>
    <row r="143" spans="1:54" x14ac:dyDescent="0.15">
      <c r="A143" s="1"/>
      <c r="B143" s="1"/>
      <c r="C143" s="2"/>
      <c r="D143" s="1"/>
      <c r="E143" s="1"/>
      <c r="F143" s="3"/>
      <c r="G143" s="4"/>
      <c r="H143" s="5"/>
      <c r="I143" s="6"/>
      <c r="J143" s="41"/>
      <c r="K143" s="41"/>
      <c r="L143" s="41"/>
      <c r="M143" s="41"/>
      <c r="N143" s="41"/>
      <c r="O143" s="50"/>
      <c r="P143" s="50"/>
      <c r="Q143" s="50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0"/>
      <c r="AY143" s="1"/>
      <c r="AZ143" s="1"/>
      <c r="BA143" s="11"/>
      <c r="BB143" s="11"/>
    </row>
    <row r="144" spans="1:54" x14ac:dyDescent="0.15">
      <c r="A144" s="1"/>
      <c r="B144" s="1"/>
      <c r="C144" s="2"/>
      <c r="D144" s="1"/>
      <c r="E144" s="1"/>
      <c r="F144" s="3"/>
      <c r="G144" s="4"/>
      <c r="H144" s="5"/>
      <c r="I144" s="6"/>
      <c r="J144" s="41"/>
      <c r="K144" s="41"/>
      <c r="L144" s="41"/>
      <c r="M144" s="41"/>
      <c r="N144" s="41"/>
      <c r="O144" s="50"/>
      <c r="P144" s="50"/>
      <c r="Q144" s="50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0"/>
      <c r="AY144" s="1"/>
      <c r="AZ144" s="1"/>
      <c r="BA144" s="11"/>
      <c r="BB144" s="11"/>
    </row>
    <row r="145" spans="1:54" x14ac:dyDescent="0.15">
      <c r="A145" s="1"/>
      <c r="B145" s="1"/>
      <c r="C145" s="2"/>
      <c r="D145" s="1"/>
      <c r="E145" s="1"/>
      <c r="F145" s="3"/>
      <c r="G145" s="4"/>
      <c r="H145" s="5"/>
      <c r="I145" s="6"/>
      <c r="J145" s="41"/>
      <c r="K145" s="41"/>
      <c r="L145" s="41"/>
      <c r="M145" s="41"/>
      <c r="N145" s="41"/>
      <c r="O145" s="50"/>
      <c r="P145" s="50"/>
      <c r="Q145" s="50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0"/>
      <c r="AY145" s="1"/>
      <c r="AZ145" s="1"/>
      <c r="BA145" s="11"/>
      <c r="BB145" s="11"/>
    </row>
    <row r="146" spans="1:54" x14ac:dyDescent="0.15">
      <c r="A146" s="1"/>
      <c r="B146" s="1"/>
      <c r="C146" s="2"/>
      <c r="D146" s="1"/>
      <c r="E146" s="1"/>
      <c r="F146" s="3"/>
      <c r="G146" s="4"/>
      <c r="H146" s="5"/>
      <c r="I146" s="6"/>
      <c r="J146" s="41"/>
      <c r="K146" s="41"/>
      <c r="L146" s="41"/>
      <c r="M146" s="41"/>
      <c r="N146" s="41"/>
      <c r="O146" s="50"/>
      <c r="P146" s="50"/>
      <c r="Q146" s="50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0"/>
      <c r="AY146" s="1"/>
      <c r="AZ146" s="1"/>
      <c r="BA146" s="11"/>
      <c r="BB146" s="11"/>
    </row>
    <row r="147" spans="1:54" x14ac:dyDescent="0.15">
      <c r="A147" s="1"/>
      <c r="B147" s="1"/>
      <c r="C147" s="2"/>
      <c r="D147" s="1"/>
      <c r="E147" s="1"/>
      <c r="F147" s="3"/>
      <c r="G147" s="4"/>
      <c r="H147" s="5"/>
      <c r="I147" s="6"/>
      <c r="J147" s="41"/>
      <c r="K147" s="41"/>
      <c r="L147" s="41"/>
      <c r="M147" s="41"/>
      <c r="N147" s="41"/>
      <c r="O147" s="50"/>
      <c r="P147" s="50"/>
      <c r="Q147" s="50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0"/>
      <c r="AY147" s="1"/>
      <c r="AZ147" s="1"/>
      <c r="BA147" s="11"/>
      <c r="BB147" s="11"/>
    </row>
    <row r="148" spans="1:54" x14ac:dyDescent="0.15">
      <c r="A148" s="1"/>
      <c r="B148" s="1"/>
      <c r="C148" s="2"/>
      <c r="D148" s="1"/>
      <c r="E148" s="1"/>
      <c r="F148" s="3"/>
      <c r="G148" s="4"/>
      <c r="H148" s="5"/>
      <c r="I148" s="6"/>
      <c r="J148" s="41"/>
      <c r="K148" s="41"/>
      <c r="L148" s="41"/>
      <c r="M148" s="41"/>
      <c r="N148" s="41"/>
      <c r="O148" s="50"/>
      <c r="P148" s="50"/>
      <c r="Q148" s="50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0"/>
      <c r="AY148" s="1"/>
      <c r="AZ148" s="1"/>
      <c r="BA148" s="11"/>
      <c r="BB148" s="11"/>
    </row>
    <row r="149" spans="1:54" x14ac:dyDescent="0.15">
      <c r="A149" s="1"/>
      <c r="B149" s="1"/>
      <c r="C149" s="2"/>
      <c r="D149" s="1"/>
      <c r="E149" s="1"/>
      <c r="F149" s="3"/>
      <c r="G149" s="4"/>
      <c r="H149" s="5"/>
      <c r="I149" s="6"/>
      <c r="J149" s="41"/>
      <c r="K149" s="41"/>
      <c r="L149" s="41"/>
      <c r="M149" s="41"/>
      <c r="N149" s="41"/>
      <c r="O149" s="50"/>
      <c r="P149" s="50"/>
      <c r="Q149" s="50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0"/>
      <c r="AY149" s="1"/>
      <c r="AZ149" s="1"/>
      <c r="BA149" s="11"/>
      <c r="BB149" s="11"/>
    </row>
    <row r="150" spans="1:54" x14ac:dyDescent="0.15">
      <c r="A150" s="1"/>
      <c r="B150" s="1"/>
      <c r="C150" s="2"/>
      <c r="D150" s="1"/>
      <c r="E150" s="1"/>
      <c r="F150" s="3"/>
      <c r="G150" s="4"/>
      <c r="H150" s="5"/>
      <c r="I150" s="6"/>
      <c r="J150" s="41"/>
      <c r="K150" s="41"/>
      <c r="L150" s="41"/>
      <c r="M150" s="41"/>
      <c r="N150" s="41"/>
      <c r="O150" s="50"/>
      <c r="P150" s="50"/>
      <c r="Q150" s="50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0"/>
      <c r="AY150" s="1"/>
      <c r="AZ150" s="1"/>
      <c r="BA150" s="11"/>
      <c r="BB150" s="11"/>
    </row>
    <row r="151" spans="1:54" x14ac:dyDescent="0.15">
      <c r="A151" s="1"/>
      <c r="B151" s="1"/>
      <c r="C151" s="2"/>
      <c r="D151" s="1"/>
      <c r="E151" s="1"/>
      <c r="F151" s="3"/>
      <c r="G151" s="4"/>
      <c r="H151" s="5"/>
      <c r="I151" s="6"/>
      <c r="J151" s="41"/>
      <c r="K151" s="41"/>
      <c r="L151" s="41"/>
      <c r="M151" s="41"/>
      <c r="N151" s="41"/>
      <c r="O151" s="50"/>
      <c r="P151" s="50"/>
      <c r="Q151" s="50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0"/>
      <c r="AY151" s="1"/>
      <c r="AZ151" s="1"/>
      <c r="BA151" s="11"/>
      <c r="BB151" s="11"/>
    </row>
    <row r="152" spans="1:54" x14ac:dyDescent="0.15">
      <c r="A152" s="1"/>
      <c r="B152" s="1"/>
      <c r="C152" s="2"/>
      <c r="D152" s="1"/>
      <c r="E152" s="1"/>
      <c r="F152" s="3"/>
      <c r="G152" s="4"/>
      <c r="H152" s="5"/>
      <c r="I152" s="6"/>
      <c r="J152" s="41"/>
      <c r="K152" s="41"/>
      <c r="L152" s="41"/>
      <c r="M152" s="41"/>
      <c r="N152" s="41"/>
      <c r="O152" s="50"/>
      <c r="P152" s="50"/>
      <c r="Q152" s="50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0"/>
      <c r="AY152" s="1"/>
      <c r="AZ152" s="1"/>
      <c r="BA152" s="11"/>
      <c r="BB152" s="11"/>
    </row>
    <row r="153" spans="1:54" x14ac:dyDescent="0.15">
      <c r="A153" s="1"/>
      <c r="B153" s="1"/>
      <c r="C153" s="2"/>
      <c r="D153" s="1"/>
      <c r="E153" s="1"/>
      <c r="F153" s="3"/>
      <c r="G153" s="4"/>
      <c r="H153" s="5"/>
      <c r="I153" s="6"/>
      <c r="J153" s="41"/>
      <c r="K153" s="41"/>
      <c r="L153" s="41"/>
      <c r="M153" s="41"/>
      <c r="N153" s="41"/>
      <c r="O153" s="50"/>
      <c r="P153" s="50"/>
      <c r="Q153" s="50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0"/>
      <c r="AY153" s="1"/>
      <c r="AZ153" s="1"/>
      <c r="BA153" s="11"/>
      <c r="BB153" s="11"/>
    </row>
    <row r="154" spans="1:54" x14ac:dyDescent="0.15">
      <c r="A154" s="1"/>
      <c r="B154" s="1"/>
      <c r="C154" s="2"/>
      <c r="D154" s="1"/>
      <c r="E154" s="1"/>
      <c r="F154" s="3"/>
      <c r="G154" s="4"/>
      <c r="H154" s="5"/>
      <c r="I154" s="6"/>
      <c r="J154" s="41"/>
      <c r="K154" s="41"/>
      <c r="L154" s="41"/>
      <c r="M154" s="41"/>
      <c r="N154" s="41"/>
      <c r="O154" s="50"/>
      <c r="P154" s="50"/>
      <c r="Q154" s="50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0"/>
      <c r="AY154" s="1"/>
      <c r="AZ154" s="1"/>
      <c r="BA154" s="11"/>
      <c r="BB154" s="11"/>
    </row>
    <row r="155" spans="1:54" x14ac:dyDescent="0.15">
      <c r="A155" s="1"/>
      <c r="B155" s="1"/>
      <c r="C155" s="2"/>
      <c r="D155" s="1"/>
      <c r="E155" s="1"/>
      <c r="F155" s="3"/>
      <c r="G155" s="4"/>
      <c r="H155" s="5"/>
      <c r="I155" s="6"/>
      <c r="J155" s="41"/>
      <c r="K155" s="41"/>
      <c r="L155" s="41"/>
      <c r="M155" s="41"/>
      <c r="N155" s="41"/>
      <c r="O155" s="50"/>
      <c r="P155" s="50"/>
      <c r="Q155" s="50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0"/>
      <c r="AY155" s="1"/>
      <c r="AZ155" s="1"/>
      <c r="BA155" s="11"/>
      <c r="BB155" s="11"/>
    </row>
    <row r="156" spans="1:54" x14ac:dyDescent="0.15">
      <c r="A156" s="1"/>
      <c r="B156" s="1"/>
      <c r="C156" s="2"/>
      <c r="D156" s="1"/>
      <c r="E156" s="1"/>
      <c r="F156" s="3"/>
      <c r="G156" s="4"/>
      <c r="H156" s="5"/>
      <c r="I156" s="6"/>
      <c r="J156" s="41"/>
      <c r="K156" s="41"/>
      <c r="L156" s="41"/>
      <c r="M156" s="41"/>
      <c r="N156" s="41"/>
      <c r="O156" s="50"/>
      <c r="P156" s="50"/>
      <c r="Q156" s="50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0"/>
      <c r="AY156" s="1"/>
      <c r="AZ156" s="1"/>
      <c r="BA156" s="11"/>
      <c r="BB156" s="11"/>
    </row>
    <row r="157" spans="1:54" x14ac:dyDescent="0.15">
      <c r="A157" s="1"/>
      <c r="B157" s="1"/>
      <c r="C157" s="2"/>
      <c r="D157" s="1"/>
      <c r="E157" s="1"/>
      <c r="F157" s="3"/>
      <c r="G157" s="4"/>
      <c r="H157" s="5"/>
      <c r="I157" s="6"/>
      <c r="J157" s="41"/>
      <c r="K157" s="41"/>
      <c r="L157" s="41"/>
      <c r="M157" s="41"/>
      <c r="N157" s="41"/>
      <c r="O157" s="50"/>
      <c r="P157" s="50"/>
      <c r="Q157" s="50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0"/>
      <c r="AY157" s="1"/>
      <c r="AZ157" s="1"/>
      <c r="BA157" s="11"/>
      <c r="BB157" s="11"/>
    </row>
    <row r="158" spans="1:54" x14ac:dyDescent="0.15">
      <c r="A158" s="1"/>
      <c r="B158" s="1"/>
      <c r="C158" s="2"/>
      <c r="D158" s="1"/>
      <c r="E158" s="1"/>
      <c r="F158" s="3"/>
      <c r="G158" s="4"/>
      <c r="H158" s="5"/>
      <c r="I158" s="6"/>
      <c r="J158" s="41"/>
      <c r="K158" s="41"/>
      <c r="L158" s="41"/>
      <c r="M158" s="41"/>
      <c r="N158" s="41"/>
      <c r="O158" s="50"/>
      <c r="P158" s="50"/>
      <c r="Q158" s="50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0"/>
      <c r="AY158" s="1"/>
      <c r="AZ158" s="1"/>
      <c r="BA158" s="11"/>
      <c r="BB158" s="11"/>
    </row>
    <row r="159" spans="1:54" x14ac:dyDescent="0.15">
      <c r="A159" s="1"/>
      <c r="B159" s="1"/>
      <c r="C159" s="2"/>
      <c r="D159" s="1"/>
      <c r="E159" s="1"/>
      <c r="F159" s="3"/>
      <c r="G159" s="4"/>
      <c r="H159" s="5"/>
      <c r="I159" s="6"/>
      <c r="J159" s="41"/>
      <c r="K159" s="41"/>
      <c r="L159" s="41"/>
      <c r="M159" s="41"/>
      <c r="N159" s="41"/>
      <c r="O159" s="50"/>
      <c r="P159" s="50"/>
      <c r="Q159" s="50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0"/>
      <c r="AY159" s="1"/>
      <c r="AZ159" s="1"/>
      <c r="BA159" s="11"/>
      <c r="BB159" s="11"/>
    </row>
    <row r="160" spans="1:54" x14ac:dyDescent="0.15">
      <c r="A160" s="1"/>
      <c r="B160" s="1"/>
      <c r="C160" s="2"/>
      <c r="D160" s="1"/>
      <c r="E160" s="1"/>
      <c r="F160" s="3"/>
      <c r="G160" s="4"/>
      <c r="H160" s="5"/>
      <c r="I160" s="6"/>
      <c r="J160" s="41"/>
      <c r="K160" s="41"/>
      <c r="L160" s="41"/>
      <c r="M160" s="41"/>
      <c r="N160" s="41"/>
      <c r="O160" s="50"/>
      <c r="P160" s="50"/>
      <c r="Q160" s="50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0"/>
      <c r="AY160" s="1"/>
      <c r="AZ160" s="1"/>
      <c r="BA160" s="11"/>
      <c r="BB160" s="11"/>
    </row>
    <row r="161" spans="1:54" x14ac:dyDescent="0.15">
      <c r="A161" s="1"/>
      <c r="B161" s="1"/>
      <c r="C161" s="2"/>
      <c r="D161" s="1"/>
      <c r="E161" s="1"/>
      <c r="F161" s="3"/>
      <c r="G161" s="4"/>
      <c r="H161" s="5"/>
      <c r="I161" s="6"/>
      <c r="J161" s="41"/>
      <c r="K161" s="41"/>
      <c r="L161" s="41"/>
      <c r="M161" s="41"/>
      <c r="N161" s="41"/>
      <c r="O161" s="50"/>
      <c r="P161" s="50"/>
      <c r="Q161" s="50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0"/>
      <c r="AY161" s="1"/>
      <c r="AZ161" s="1"/>
      <c r="BA161" s="11"/>
      <c r="BB161" s="11"/>
    </row>
    <row r="162" spans="1:54" x14ac:dyDescent="0.15">
      <c r="A162" s="1"/>
      <c r="B162" s="1"/>
      <c r="C162" s="2"/>
      <c r="D162" s="1"/>
      <c r="E162" s="1"/>
      <c r="F162" s="3"/>
      <c r="G162" s="4"/>
      <c r="H162" s="5"/>
      <c r="I162" s="6"/>
      <c r="J162" s="41"/>
      <c r="K162" s="41"/>
      <c r="L162" s="41"/>
      <c r="M162" s="41"/>
      <c r="N162" s="41"/>
      <c r="O162" s="50"/>
      <c r="P162" s="50"/>
      <c r="Q162" s="50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0"/>
      <c r="AY162" s="1"/>
      <c r="AZ162" s="1"/>
      <c r="BA162" s="11"/>
      <c r="BB162" s="11"/>
    </row>
    <row r="163" spans="1:54" x14ac:dyDescent="0.15">
      <c r="A163" s="1"/>
      <c r="B163" s="1"/>
      <c r="C163" s="2"/>
      <c r="D163" s="1"/>
      <c r="E163" s="1"/>
      <c r="F163" s="3"/>
      <c r="G163" s="4"/>
      <c r="H163" s="5"/>
      <c r="I163" s="6"/>
      <c r="J163" s="41"/>
      <c r="K163" s="41"/>
      <c r="L163" s="41"/>
      <c r="M163" s="41"/>
      <c r="N163" s="41"/>
      <c r="O163" s="50"/>
      <c r="P163" s="50"/>
      <c r="Q163" s="50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0"/>
      <c r="AY163" s="1"/>
      <c r="AZ163" s="1"/>
      <c r="BA163" s="11"/>
      <c r="BB163" s="11"/>
    </row>
    <row r="164" spans="1:54" x14ac:dyDescent="0.15">
      <c r="A164" s="1"/>
      <c r="B164" s="1"/>
      <c r="C164" s="2"/>
      <c r="D164" s="1"/>
      <c r="E164" s="1"/>
      <c r="F164" s="3"/>
      <c r="G164" s="4"/>
      <c r="H164" s="5"/>
      <c r="I164" s="6"/>
      <c r="J164" s="41"/>
      <c r="K164" s="41"/>
      <c r="L164" s="41"/>
      <c r="M164" s="41"/>
      <c r="N164" s="41"/>
      <c r="O164" s="50"/>
      <c r="P164" s="50"/>
      <c r="Q164" s="50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0"/>
      <c r="AY164" s="1"/>
      <c r="AZ164" s="1"/>
      <c r="BA164" s="11"/>
      <c r="BB164" s="11"/>
    </row>
    <row r="165" spans="1:54" x14ac:dyDescent="0.15">
      <c r="A165" s="1"/>
      <c r="B165" s="1"/>
      <c r="C165" s="2"/>
      <c r="D165" s="1"/>
      <c r="E165" s="1"/>
      <c r="F165" s="3"/>
      <c r="G165" s="4"/>
      <c r="H165" s="5"/>
      <c r="I165" s="6"/>
      <c r="J165" s="41"/>
      <c r="K165" s="41"/>
      <c r="L165" s="41"/>
      <c r="M165" s="41"/>
      <c r="N165" s="41"/>
      <c r="O165" s="50"/>
      <c r="P165" s="50"/>
      <c r="Q165" s="50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0"/>
      <c r="AY165" s="1"/>
      <c r="AZ165" s="1"/>
      <c r="BA165" s="11"/>
      <c r="BB165" s="11"/>
    </row>
    <row r="166" spans="1:54" x14ac:dyDescent="0.15">
      <c r="A166" s="1"/>
      <c r="B166" s="1"/>
      <c r="C166" s="2"/>
      <c r="D166" s="1"/>
      <c r="E166" s="1"/>
      <c r="F166" s="3"/>
      <c r="G166" s="4"/>
      <c r="H166" s="5"/>
      <c r="I166" s="6"/>
      <c r="J166" s="41"/>
      <c r="K166" s="41"/>
      <c r="L166" s="41"/>
      <c r="M166" s="41"/>
      <c r="N166" s="41"/>
      <c r="O166" s="50"/>
      <c r="P166" s="50"/>
      <c r="Q166" s="50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0"/>
      <c r="AY166" s="1"/>
      <c r="AZ166" s="1"/>
      <c r="BA166" s="11"/>
      <c r="BB166" s="11"/>
    </row>
    <row r="167" spans="1:54" x14ac:dyDescent="0.15">
      <c r="A167" s="1"/>
      <c r="B167" s="1"/>
      <c r="C167" s="2"/>
      <c r="D167" s="1"/>
      <c r="E167" s="1"/>
      <c r="F167" s="3"/>
      <c r="G167" s="4"/>
      <c r="H167" s="5"/>
      <c r="I167" s="6"/>
      <c r="J167" s="41"/>
      <c r="K167" s="41"/>
      <c r="L167" s="41"/>
      <c r="M167" s="41"/>
      <c r="N167" s="41"/>
      <c r="O167" s="50"/>
      <c r="P167" s="50"/>
      <c r="Q167" s="50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0"/>
      <c r="AY167" s="1"/>
      <c r="AZ167" s="1"/>
      <c r="BA167" s="11"/>
      <c r="BB167" s="11"/>
    </row>
    <row r="168" spans="1:54" x14ac:dyDescent="0.15">
      <c r="A168" s="1"/>
      <c r="B168" s="1"/>
      <c r="C168" s="2"/>
      <c r="D168" s="1"/>
      <c r="E168" s="1"/>
      <c r="F168" s="3"/>
      <c r="G168" s="4"/>
      <c r="H168" s="5"/>
      <c r="I168" s="6"/>
      <c r="J168" s="41"/>
      <c r="K168" s="41"/>
      <c r="L168" s="41"/>
      <c r="M168" s="41"/>
      <c r="N168" s="41"/>
      <c r="O168" s="50"/>
      <c r="P168" s="50"/>
      <c r="Q168" s="50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0"/>
      <c r="AY168" s="1"/>
      <c r="AZ168" s="1"/>
      <c r="BA168" s="11"/>
      <c r="BB168" s="11"/>
    </row>
    <row r="169" spans="1:54" x14ac:dyDescent="0.15">
      <c r="A169" s="1"/>
      <c r="B169" s="1"/>
      <c r="C169" s="2"/>
      <c r="D169" s="1"/>
      <c r="E169" s="1"/>
      <c r="F169" s="3"/>
      <c r="G169" s="4"/>
      <c r="H169" s="5"/>
      <c r="I169" s="6"/>
      <c r="J169" s="41"/>
      <c r="K169" s="41"/>
      <c r="L169" s="41"/>
      <c r="M169" s="41"/>
      <c r="N169" s="41"/>
      <c r="O169" s="50"/>
      <c r="P169" s="50"/>
      <c r="Q169" s="50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0"/>
      <c r="AY169" s="1"/>
      <c r="AZ169" s="1"/>
      <c r="BA169" s="11"/>
      <c r="BB169" s="11"/>
    </row>
    <row r="170" spans="1:54" x14ac:dyDescent="0.15">
      <c r="A170" s="1"/>
      <c r="B170" s="1"/>
      <c r="C170" s="2"/>
      <c r="D170" s="1"/>
      <c r="E170" s="1"/>
      <c r="F170" s="3"/>
      <c r="G170" s="4"/>
      <c r="H170" s="5"/>
      <c r="I170" s="6"/>
      <c r="J170" s="41"/>
      <c r="K170" s="41"/>
      <c r="L170" s="41"/>
      <c r="M170" s="41"/>
      <c r="N170" s="41"/>
      <c r="O170" s="50"/>
      <c r="P170" s="50"/>
      <c r="Q170" s="50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0"/>
      <c r="AY170" s="1"/>
      <c r="AZ170" s="1"/>
      <c r="BA170" s="11"/>
      <c r="BB170" s="11"/>
    </row>
    <row r="171" spans="1:54" x14ac:dyDescent="0.15">
      <c r="A171" s="1"/>
      <c r="B171" s="1"/>
      <c r="C171" s="2"/>
      <c r="D171" s="1"/>
      <c r="E171" s="1"/>
      <c r="F171" s="3"/>
      <c r="G171" s="4"/>
      <c r="H171" s="5"/>
      <c r="I171" s="6"/>
      <c r="J171" s="41"/>
      <c r="K171" s="41"/>
      <c r="L171" s="41"/>
      <c r="M171" s="41"/>
      <c r="N171" s="41"/>
      <c r="O171" s="50"/>
      <c r="P171" s="50"/>
      <c r="Q171" s="50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0"/>
      <c r="AY171" s="1"/>
      <c r="AZ171" s="1"/>
      <c r="BA171" s="11"/>
      <c r="BB171" s="11"/>
    </row>
    <row r="172" spans="1:54" x14ac:dyDescent="0.15">
      <c r="A172" s="1"/>
      <c r="B172" s="1"/>
      <c r="C172" s="2"/>
      <c r="D172" s="1"/>
      <c r="E172" s="1"/>
      <c r="F172" s="3"/>
      <c r="G172" s="4"/>
      <c r="H172" s="5"/>
      <c r="I172" s="6"/>
      <c r="J172" s="41"/>
      <c r="K172" s="41"/>
      <c r="L172" s="41"/>
      <c r="M172" s="41"/>
      <c r="N172" s="41"/>
      <c r="O172" s="50"/>
      <c r="P172" s="50"/>
      <c r="Q172" s="50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0"/>
      <c r="AY172" s="1"/>
      <c r="AZ172" s="1"/>
      <c r="BA172" s="11"/>
      <c r="BB172" s="11"/>
    </row>
    <row r="173" spans="1:54" x14ac:dyDescent="0.15">
      <c r="A173" s="1"/>
      <c r="B173" s="1"/>
      <c r="C173" s="2"/>
      <c r="D173" s="1"/>
      <c r="E173" s="1"/>
      <c r="F173" s="3"/>
      <c r="G173" s="4"/>
      <c r="H173" s="5"/>
      <c r="I173" s="6"/>
      <c r="J173" s="41"/>
      <c r="K173" s="41"/>
      <c r="L173" s="41"/>
      <c r="M173" s="41"/>
      <c r="N173" s="41"/>
      <c r="O173" s="50"/>
      <c r="P173" s="50"/>
      <c r="Q173" s="50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0"/>
      <c r="AY173" s="1"/>
      <c r="AZ173" s="1"/>
      <c r="BA173" s="11"/>
      <c r="BB173" s="11"/>
    </row>
    <row r="174" spans="1:54" x14ac:dyDescent="0.15">
      <c r="A174" s="1"/>
      <c r="B174" s="1"/>
      <c r="C174" s="2"/>
      <c r="D174" s="1"/>
      <c r="E174" s="1"/>
      <c r="F174" s="3"/>
      <c r="G174" s="4"/>
      <c r="H174" s="5"/>
      <c r="I174" s="6"/>
      <c r="J174" s="41"/>
      <c r="K174" s="41"/>
      <c r="L174" s="41"/>
      <c r="M174" s="41"/>
      <c r="N174" s="41"/>
      <c r="O174" s="50"/>
      <c r="P174" s="50"/>
      <c r="Q174" s="50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0"/>
      <c r="AY174" s="1"/>
      <c r="AZ174" s="1"/>
      <c r="BA174" s="11"/>
      <c r="BB174" s="11"/>
    </row>
    <row r="175" spans="1:54" x14ac:dyDescent="0.15">
      <c r="A175" s="1"/>
      <c r="B175" s="1"/>
      <c r="C175" s="2"/>
      <c r="D175" s="1"/>
      <c r="E175" s="1"/>
      <c r="F175" s="3"/>
      <c r="G175" s="4"/>
      <c r="H175" s="5"/>
      <c r="I175" s="6"/>
      <c r="J175" s="41"/>
      <c r="K175" s="41"/>
      <c r="L175" s="41"/>
      <c r="M175" s="41"/>
      <c r="N175" s="41"/>
      <c r="O175" s="50"/>
      <c r="P175" s="50"/>
      <c r="Q175" s="50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0"/>
      <c r="AY175" s="1"/>
      <c r="AZ175" s="1"/>
      <c r="BA175" s="11"/>
      <c r="BB175" s="11"/>
    </row>
    <row r="176" spans="1:54" x14ac:dyDescent="0.15">
      <c r="A176" s="1"/>
      <c r="B176" s="1"/>
      <c r="C176" s="2"/>
      <c r="D176" s="1"/>
      <c r="E176" s="1"/>
      <c r="F176" s="3"/>
      <c r="G176" s="4"/>
      <c r="H176" s="5"/>
      <c r="I176" s="6"/>
      <c r="J176" s="41"/>
      <c r="K176" s="41"/>
      <c r="L176" s="41"/>
      <c r="M176" s="41"/>
      <c r="N176" s="41"/>
      <c r="O176" s="50"/>
      <c r="P176" s="50"/>
      <c r="Q176" s="50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0"/>
      <c r="AY176" s="1"/>
      <c r="AZ176" s="1"/>
      <c r="BA176" s="11"/>
      <c r="BB176" s="11"/>
    </row>
    <row r="177" spans="1:54" x14ac:dyDescent="0.15">
      <c r="A177" s="1"/>
      <c r="B177" s="1"/>
      <c r="C177" s="2"/>
      <c r="D177" s="1"/>
      <c r="E177" s="1"/>
      <c r="F177" s="3"/>
      <c r="G177" s="4"/>
      <c r="H177" s="5"/>
      <c r="I177" s="6"/>
      <c r="J177" s="41"/>
      <c r="K177" s="41"/>
      <c r="L177" s="41"/>
      <c r="M177" s="41"/>
      <c r="N177" s="41"/>
      <c r="O177" s="50"/>
      <c r="P177" s="50"/>
      <c r="Q177" s="50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0"/>
      <c r="AY177" s="1"/>
      <c r="AZ177" s="1"/>
      <c r="BA177" s="11"/>
      <c r="BB177" s="11"/>
    </row>
    <row r="178" spans="1:54" x14ac:dyDescent="0.15">
      <c r="A178" s="1"/>
      <c r="B178" s="1"/>
      <c r="C178" s="2"/>
      <c r="D178" s="1"/>
      <c r="E178" s="1"/>
      <c r="F178" s="3"/>
      <c r="G178" s="4"/>
      <c r="H178" s="5"/>
      <c r="I178" s="6"/>
      <c r="J178" s="41"/>
      <c r="K178" s="41"/>
      <c r="L178" s="41"/>
      <c r="M178" s="41"/>
      <c r="N178" s="41"/>
      <c r="O178" s="50"/>
      <c r="P178" s="50"/>
      <c r="Q178" s="50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0"/>
      <c r="AY178" s="1"/>
      <c r="AZ178" s="1"/>
      <c r="BA178" s="11"/>
      <c r="BB178" s="11"/>
    </row>
    <row r="179" spans="1:54" x14ac:dyDescent="0.15">
      <c r="A179" s="1"/>
      <c r="B179" s="1"/>
      <c r="C179" s="2"/>
      <c r="D179" s="1"/>
      <c r="E179" s="1"/>
      <c r="F179" s="3"/>
      <c r="G179" s="4"/>
      <c r="H179" s="5"/>
      <c r="I179" s="6"/>
      <c r="J179" s="41"/>
      <c r="K179" s="41"/>
      <c r="L179" s="41"/>
      <c r="M179" s="41"/>
      <c r="N179" s="41"/>
      <c r="O179" s="50"/>
      <c r="P179" s="50"/>
      <c r="Q179" s="50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0"/>
      <c r="AY179" s="1"/>
      <c r="AZ179" s="1"/>
      <c r="BA179" s="11"/>
      <c r="BB179" s="11"/>
    </row>
    <row r="180" spans="1:54" x14ac:dyDescent="0.15">
      <c r="A180" s="1"/>
      <c r="B180" s="1"/>
      <c r="C180" s="2"/>
      <c r="D180" s="1"/>
      <c r="E180" s="1"/>
      <c r="F180" s="3"/>
      <c r="G180" s="4"/>
      <c r="H180" s="5"/>
      <c r="I180" s="6"/>
      <c r="J180" s="41"/>
      <c r="K180" s="41"/>
      <c r="L180" s="41"/>
      <c r="M180" s="41"/>
      <c r="N180" s="41"/>
      <c r="O180" s="50"/>
      <c r="P180" s="50"/>
      <c r="Q180" s="50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0"/>
      <c r="AY180" s="1"/>
      <c r="AZ180" s="1"/>
      <c r="BA180" s="11"/>
      <c r="BB180" s="11"/>
    </row>
    <row r="181" spans="1:54" x14ac:dyDescent="0.15">
      <c r="A181" s="1"/>
      <c r="B181" s="1"/>
      <c r="C181" s="2"/>
      <c r="D181" s="1"/>
      <c r="E181" s="1"/>
      <c r="F181" s="3"/>
      <c r="G181" s="4"/>
      <c r="H181" s="5"/>
      <c r="I181" s="6"/>
      <c r="J181" s="41"/>
      <c r="K181" s="41"/>
      <c r="L181" s="41"/>
      <c r="M181" s="41"/>
      <c r="N181" s="41"/>
      <c r="O181" s="50"/>
      <c r="P181" s="50"/>
      <c r="Q181" s="50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0"/>
      <c r="AY181" s="1"/>
      <c r="AZ181" s="1"/>
      <c r="BA181" s="11"/>
      <c r="BB181" s="11"/>
    </row>
    <row r="182" spans="1:54" x14ac:dyDescent="0.15">
      <c r="A182" s="1"/>
      <c r="B182" s="1"/>
      <c r="C182" s="2"/>
      <c r="D182" s="1"/>
      <c r="E182" s="1"/>
      <c r="F182" s="3"/>
      <c r="G182" s="4"/>
      <c r="H182" s="5"/>
      <c r="I182" s="6"/>
      <c r="J182" s="41"/>
      <c r="K182" s="41"/>
      <c r="L182" s="41"/>
      <c r="M182" s="41"/>
      <c r="N182" s="41"/>
      <c r="O182" s="50"/>
      <c r="P182" s="50"/>
      <c r="Q182" s="50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0"/>
      <c r="AY182" s="1"/>
      <c r="AZ182" s="1"/>
      <c r="BA182" s="11"/>
      <c r="BB182" s="11"/>
    </row>
    <row r="183" spans="1:54" x14ac:dyDescent="0.15">
      <c r="A183" s="1"/>
      <c r="B183" s="1"/>
      <c r="C183" s="2"/>
      <c r="D183" s="1"/>
      <c r="E183" s="1"/>
      <c r="F183" s="3"/>
      <c r="G183" s="4"/>
      <c r="H183" s="5"/>
      <c r="I183" s="6"/>
      <c r="J183" s="41"/>
      <c r="K183" s="41"/>
      <c r="L183" s="41"/>
      <c r="M183" s="41"/>
      <c r="N183" s="41"/>
      <c r="O183" s="50"/>
      <c r="P183" s="50"/>
      <c r="Q183" s="50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0"/>
      <c r="AY183" s="1"/>
      <c r="AZ183" s="1"/>
      <c r="BA183" s="11"/>
      <c r="BB183" s="11"/>
    </row>
    <row r="184" spans="1:54" x14ac:dyDescent="0.15">
      <c r="A184" s="1"/>
      <c r="B184" s="1"/>
      <c r="C184" s="2"/>
      <c r="D184" s="1"/>
      <c r="E184" s="1"/>
      <c r="F184" s="3"/>
      <c r="G184" s="4"/>
      <c r="H184" s="5"/>
      <c r="I184" s="6"/>
      <c r="J184" s="41"/>
      <c r="K184" s="41"/>
      <c r="L184" s="41"/>
      <c r="M184" s="41"/>
      <c r="N184" s="41"/>
      <c r="O184" s="50"/>
      <c r="P184" s="50"/>
      <c r="Q184" s="50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0"/>
      <c r="AY184" s="1"/>
      <c r="AZ184" s="1"/>
      <c r="BA184" s="11"/>
      <c r="BB184" s="11"/>
    </row>
    <row r="185" spans="1:54" x14ac:dyDescent="0.15">
      <c r="A185" s="1"/>
      <c r="B185" s="1"/>
      <c r="C185" s="2"/>
      <c r="D185" s="1"/>
      <c r="E185" s="1"/>
      <c r="F185" s="3"/>
      <c r="G185" s="4"/>
      <c r="H185" s="5"/>
      <c r="I185" s="6"/>
      <c r="J185" s="41"/>
      <c r="K185" s="41"/>
      <c r="L185" s="41"/>
      <c r="M185" s="41"/>
      <c r="N185" s="41"/>
      <c r="O185" s="50"/>
      <c r="P185" s="50"/>
      <c r="Q185" s="50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0"/>
      <c r="AY185" s="1"/>
      <c r="AZ185" s="1"/>
      <c r="BA185" s="11"/>
      <c r="BB185" s="11"/>
    </row>
    <row r="186" spans="1:54" x14ac:dyDescent="0.15">
      <c r="A186" s="1"/>
      <c r="B186" s="1"/>
      <c r="C186" s="2"/>
      <c r="D186" s="1"/>
      <c r="E186" s="1"/>
      <c r="F186" s="3"/>
      <c r="G186" s="4"/>
      <c r="H186" s="5"/>
      <c r="I186" s="6"/>
      <c r="J186" s="41"/>
      <c r="K186" s="41"/>
      <c r="L186" s="41"/>
      <c r="M186" s="41"/>
      <c r="N186" s="41"/>
      <c r="O186" s="50"/>
      <c r="P186" s="50"/>
      <c r="Q186" s="50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0"/>
      <c r="AY186" s="1"/>
      <c r="AZ186" s="1"/>
      <c r="BA186" s="11"/>
      <c r="BB186" s="11"/>
    </row>
    <row r="187" spans="1:54" x14ac:dyDescent="0.15">
      <c r="A187" s="1"/>
      <c r="B187" s="1"/>
      <c r="C187" s="2"/>
      <c r="D187" s="1"/>
      <c r="E187" s="1"/>
      <c r="F187" s="3"/>
      <c r="G187" s="4"/>
      <c r="H187" s="5"/>
      <c r="I187" s="6"/>
      <c r="J187" s="41"/>
      <c r="K187" s="41"/>
      <c r="L187" s="41"/>
      <c r="M187" s="41"/>
      <c r="N187" s="41"/>
      <c r="O187" s="50"/>
      <c r="P187" s="50"/>
      <c r="Q187" s="50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0"/>
      <c r="AY187" s="1"/>
      <c r="AZ187" s="1"/>
      <c r="BA187" s="11"/>
      <c r="BB187" s="11"/>
    </row>
    <row r="188" spans="1:54" x14ac:dyDescent="0.15">
      <c r="A188" s="1"/>
      <c r="B188" s="1"/>
      <c r="C188" s="2"/>
      <c r="D188" s="1"/>
      <c r="E188" s="1"/>
      <c r="F188" s="3"/>
      <c r="G188" s="4"/>
      <c r="H188" s="5"/>
      <c r="I188" s="6"/>
      <c r="J188" s="41"/>
      <c r="K188" s="41"/>
      <c r="L188" s="41"/>
      <c r="M188" s="41"/>
      <c r="N188" s="41"/>
      <c r="O188" s="50"/>
      <c r="P188" s="50"/>
      <c r="Q188" s="50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0"/>
      <c r="AY188" s="1"/>
      <c r="AZ188" s="1"/>
      <c r="BA188" s="11"/>
      <c r="BB188" s="11"/>
    </row>
    <row r="189" spans="1:54" x14ac:dyDescent="0.15">
      <c r="A189" s="1"/>
      <c r="B189" s="1"/>
      <c r="C189" s="2"/>
      <c r="D189" s="1"/>
      <c r="E189" s="1"/>
      <c r="F189" s="3"/>
      <c r="G189" s="4"/>
      <c r="H189" s="5"/>
      <c r="I189" s="6"/>
      <c r="J189" s="41"/>
      <c r="K189" s="41"/>
      <c r="L189" s="41"/>
      <c r="M189" s="41"/>
      <c r="N189" s="41"/>
      <c r="O189" s="50"/>
      <c r="P189" s="50"/>
      <c r="Q189" s="50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0"/>
      <c r="AY189" s="1"/>
      <c r="AZ189" s="1"/>
      <c r="BA189" s="11"/>
      <c r="BB189" s="11"/>
    </row>
    <row r="190" spans="1:54" x14ac:dyDescent="0.15">
      <c r="A190" s="1"/>
      <c r="B190" s="1"/>
      <c r="C190" s="2"/>
      <c r="D190" s="1"/>
      <c r="E190" s="1"/>
      <c r="F190" s="3"/>
      <c r="G190" s="4"/>
      <c r="H190" s="5"/>
      <c r="I190" s="6"/>
      <c r="J190" s="41"/>
      <c r="K190" s="41"/>
      <c r="L190" s="41"/>
      <c r="M190" s="41"/>
      <c r="N190" s="41"/>
      <c r="O190" s="50"/>
      <c r="P190" s="50"/>
      <c r="Q190" s="50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0"/>
      <c r="AY190" s="1"/>
      <c r="AZ190" s="1"/>
      <c r="BA190" s="11"/>
      <c r="BB190" s="11"/>
    </row>
    <row r="191" spans="1:54" x14ac:dyDescent="0.15">
      <c r="A191" s="1"/>
      <c r="B191" s="1"/>
      <c r="C191" s="2"/>
      <c r="D191" s="1"/>
      <c r="E191" s="1"/>
      <c r="F191" s="3"/>
      <c r="G191" s="4"/>
      <c r="H191" s="5"/>
      <c r="I191" s="6"/>
      <c r="J191" s="41"/>
      <c r="K191" s="41"/>
      <c r="L191" s="41"/>
      <c r="M191" s="41"/>
      <c r="N191" s="41"/>
      <c r="O191" s="50"/>
      <c r="P191" s="50"/>
      <c r="Q191" s="50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0"/>
      <c r="AY191" s="1"/>
      <c r="AZ191" s="1"/>
      <c r="BA191" s="11"/>
      <c r="BB191" s="11"/>
    </row>
    <row r="192" spans="1:54" x14ac:dyDescent="0.15">
      <c r="A192" s="1"/>
      <c r="B192" s="1"/>
      <c r="C192" s="2"/>
      <c r="D192" s="1"/>
      <c r="E192" s="1"/>
      <c r="F192" s="3"/>
      <c r="G192" s="4"/>
      <c r="H192" s="5"/>
      <c r="I192" s="6"/>
      <c r="J192" s="41"/>
      <c r="K192" s="41"/>
      <c r="L192" s="41"/>
      <c r="M192" s="41"/>
      <c r="N192" s="41"/>
      <c r="O192" s="50"/>
      <c r="P192" s="50"/>
      <c r="Q192" s="50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0"/>
      <c r="AY192" s="1"/>
      <c r="AZ192" s="1"/>
      <c r="BA192" s="11"/>
      <c r="BB192" s="11"/>
    </row>
    <row r="193" spans="1:54" x14ac:dyDescent="0.15">
      <c r="A193" s="1"/>
      <c r="B193" s="1"/>
      <c r="C193" s="2"/>
      <c r="D193" s="1"/>
      <c r="E193" s="1"/>
      <c r="F193" s="3"/>
      <c r="G193" s="4"/>
      <c r="H193" s="5"/>
      <c r="I193" s="6"/>
      <c r="J193" s="41"/>
      <c r="K193" s="41"/>
      <c r="L193" s="41"/>
      <c r="M193" s="41"/>
      <c r="N193" s="41"/>
      <c r="O193" s="50"/>
      <c r="P193" s="50"/>
      <c r="Q193" s="50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0"/>
      <c r="AY193" s="1"/>
      <c r="AZ193" s="1"/>
      <c r="BA193" s="11"/>
      <c r="BB193" s="11"/>
    </row>
    <row r="194" spans="1:54" x14ac:dyDescent="0.15">
      <c r="A194" s="1"/>
      <c r="B194" s="1"/>
      <c r="C194" s="2"/>
      <c r="D194" s="1"/>
      <c r="E194" s="1"/>
      <c r="F194" s="3"/>
      <c r="G194" s="4"/>
      <c r="H194" s="5"/>
      <c r="I194" s="6"/>
      <c r="J194" s="41"/>
      <c r="K194" s="41"/>
      <c r="L194" s="41"/>
      <c r="M194" s="41"/>
      <c r="N194" s="41"/>
      <c r="O194" s="50"/>
      <c r="P194" s="50"/>
      <c r="Q194" s="50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0"/>
      <c r="AY194" s="1"/>
      <c r="AZ194" s="1"/>
      <c r="BA194" s="11"/>
      <c r="BB194" s="11"/>
    </row>
    <row r="195" spans="1:54" x14ac:dyDescent="0.15">
      <c r="A195" s="1"/>
      <c r="B195" s="1"/>
      <c r="C195" s="2"/>
      <c r="D195" s="1"/>
      <c r="E195" s="1"/>
      <c r="F195" s="3"/>
      <c r="G195" s="4"/>
      <c r="H195" s="5"/>
      <c r="I195" s="6"/>
      <c r="J195" s="41"/>
      <c r="K195" s="41"/>
      <c r="L195" s="41"/>
      <c r="M195" s="41"/>
      <c r="N195" s="41"/>
      <c r="O195" s="50"/>
      <c r="P195" s="50"/>
      <c r="Q195" s="50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0"/>
      <c r="AY195" s="1"/>
      <c r="AZ195" s="1"/>
      <c r="BA195" s="11"/>
      <c r="BB195" s="11"/>
    </row>
    <row r="196" spans="1:54" x14ac:dyDescent="0.15">
      <c r="A196" s="1"/>
      <c r="B196" s="1"/>
      <c r="C196" s="2"/>
      <c r="D196" s="1"/>
      <c r="E196" s="1"/>
      <c r="F196" s="3"/>
      <c r="G196" s="4"/>
      <c r="H196" s="5"/>
      <c r="I196" s="6"/>
      <c r="J196" s="41"/>
      <c r="K196" s="41"/>
      <c r="L196" s="41"/>
      <c r="M196" s="41"/>
      <c r="N196" s="41"/>
      <c r="O196" s="50"/>
      <c r="P196" s="50"/>
      <c r="Q196" s="50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0"/>
      <c r="AY196" s="1"/>
      <c r="AZ196" s="1"/>
      <c r="BA196" s="11"/>
      <c r="BB196" s="11"/>
    </row>
    <row r="197" spans="1:54" x14ac:dyDescent="0.15">
      <c r="A197" s="1"/>
      <c r="B197" s="1"/>
      <c r="C197" s="2"/>
      <c r="D197" s="1"/>
      <c r="E197" s="1"/>
      <c r="F197" s="3"/>
      <c r="G197" s="4"/>
      <c r="H197" s="5"/>
      <c r="I197" s="6"/>
      <c r="J197" s="41"/>
      <c r="K197" s="41"/>
      <c r="L197" s="41"/>
      <c r="M197" s="41"/>
      <c r="N197" s="41"/>
      <c r="O197" s="50"/>
      <c r="P197" s="50"/>
      <c r="Q197" s="50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0"/>
      <c r="AY197" s="1"/>
      <c r="AZ197" s="1"/>
      <c r="BA197" s="11"/>
      <c r="BB197" s="11"/>
    </row>
    <row r="198" spans="1:54" x14ac:dyDescent="0.15">
      <c r="A198" s="1"/>
      <c r="B198" s="1"/>
      <c r="C198" s="2"/>
      <c r="D198" s="1"/>
      <c r="E198" s="1"/>
      <c r="F198" s="3"/>
      <c r="G198" s="4"/>
      <c r="H198" s="5"/>
      <c r="I198" s="6"/>
      <c r="J198" s="41"/>
      <c r="K198" s="41"/>
      <c r="L198" s="41"/>
      <c r="M198" s="41"/>
      <c r="N198" s="41"/>
      <c r="O198" s="50"/>
      <c r="P198" s="50"/>
      <c r="Q198" s="50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0"/>
      <c r="AY198" s="1"/>
      <c r="AZ198" s="1"/>
      <c r="BA198" s="11"/>
      <c r="BB198" s="11"/>
    </row>
    <row r="199" spans="1:54" x14ac:dyDescent="0.15">
      <c r="A199" s="1"/>
      <c r="B199" s="1"/>
      <c r="C199" s="2"/>
      <c r="D199" s="1"/>
      <c r="E199" s="1"/>
      <c r="F199" s="3"/>
      <c r="G199" s="4"/>
      <c r="H199" s="5"/>
      <c r="I199" s="6"/>
      <c r="J199" s="41"/>
      <c r="K199" s="41"/>
      <c r="L199" s="41"/>
      <c r="M199" s="41"/>
      <c r="N199" s="41"/>
      <c r="O199" s="50"/>
      <c r="P199" s="50"/>
      <c r="Q199" s="50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0"/>
      <c r="AY199" s="1"/>
      <c r="AZ199" s="1"/>
      <c r="BA199" s="11"/>
      <c r="BB199" s="11"/>
    </row>
    <row r="200" spans="1:54" x14ac:dyDescent="0.15">
      <c r="A200" s="1"/>
      <c r="B200" s="1"/>
      <c r="C200" s="2"/>
      <c r="D200" s="1"/>
      <c r="E200" s="1"/>
      <c r="F200" s="3"/>
      <c r="G200" s="4"/>
      <c r="H200" s="5"/>
      <c r="I200" s="6"/>
      <c r="J200" s="41"/>
      <c r="K200" s="41"/>
      <c r="L200" s="41"/>
      <c r="M200" s="41"/>
      <c r="N200" s="41"/>
      <c r="O200" s="50"/>
      <c r="P200" s="50"/>
      <c r="Q200" s="50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0"/>
      <c r="AY200" s="1"/>
      <c r="AZ200" s="1"/>
      <c r="BA200" s="11"/>
      <c r="BB200" s="11"/>
    </row>
    <row r="201" spans="1:54" x14ac:dyDescent="0.15">
      <c r="A201" s="1"/>
      <c r="B201" s="1"/>
      <c r="C201" s="2"/>
      <c r="D201" s="1"/>
      <c r="E201" s="1"/>
      <c r="F201" s="3"/>
      <c r="G201" s="4"/>
      <c r="H201" s="5"/>
      <c r="I201" s="6"/>
      <c r="J201" s="41"/>
      <c r="K201" s="41"/>
      <c r="L201" s="41"/>
      <c r="M201" s="41"/>
      <c r="N201" s="41"/>
      <c r="O201" s="50"/>
      <c r="P201" s="50"/>
      <c r="Q201" s="50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0"/>
      <c r="AY201" s="1"/>
      <c r="AZ201" s="1"/>
      <c r="BA201" s="11"/>
      <c r="BB201" s="11"/>
    </row>
    <row r="202" spans="1:54" x14ac:dyDescent="0.15">
      <c r="A202" s="1"/>
      <c r="B202" s="1"/>
      <c r="C202" s="2"/>
      <c r="D202" s="1"/>
      <c r="E202" s="1"/>
      <c r="F202" s="3"/>
      <c r="G202" s="4"/>
      <c r="H202" s="5"/>
      <c r="I202" s="6"/>
      <c r="J202" s="41"/>
      <c r="K202" s="41"/>
      <c r="L202" s="41"/>
      <c r="M202" s="41"/>
      <c r="N202" s="41"/>
      <c r="O202" s="50"/>
      <c r="P202" s="50"/>
      <c r="Q202" s="50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0"/>
      <c r="AY202" s="1"/>
      <c r="AZ202" s="1"/>
      <c r="BA202" s="11"/>
      <c r="BB202" s="11"/>
    </row>
    <row r="203" spans="1:54" x14ac:dyDescent="0.15">
      <c r="A203" s="1"/>
      <c r="B203" s="1"/>
      <c r="C203" s="2"/>
      <c r="D203" s="1"/>
      <c r="E203" s="1"/>
      <c r="F203" s="3"/>
      <c r="G203" s="4"/>
      <c r="H203" s="5"/>
      <c r="I203" s="6"/>
      <c r="J203" s="41"/>
      <c r="K203" s="41"/>
      <c r="L203" s="41"/>
      <c r="M203" s="41"/>
      <c r="N203" s="41"/>
      <c r="O203" s="50"/>
      <c r="P203" s="50"/>
      <c r="Q203" s="50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0"/>
      <c r="AY203" s="1"/>
      <c r="AZ203" s="1"/>
      <c r="BA203" s="11"/>
      <c r="BB203" s="11"/>
    </row>
    <row r="204" spans="1:54" x14ac:dyDescent="0.15">
      <c r="A204" s="1"/>
      <c r="B204" s="1"/>
      <c r="C204" s="2"/>
      <c r="D204" s="1"/>
      <c r="E204" s="1"/>
      <c r="F204" s="3"/>
      <c r="G204" s="4"/>
      <c r="H204" s="5"/>
      <c r="I204" s="6"/>
      <c r="J204" s="41"/>
      <c r="K204" s="41"/>
      <c r="L204" s="41"/>
      <c r="M204" s="41"/>
      <c r="N204" s="41"/>
      <c r="O204" s="50"/>
      <c r="P204" s="50"/>
      <c r="Q204" s="50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0"/>
      <c r="AY204" s="1"/>
      <c r="AZ204" s="1"/>
      <c r="BA204" s="11"/>
      <c r="BB204" s="11"/>
    </row>
    <row r="205" spans="1:54" x14ac:dyDescent="0.15">
      <c r="A205" s="1"/>
      <c r="B205" s="1"/>
      <c r="C205" s="2"/>
      <c r="D205" s="1"/>
      <c r="E205" s="1"/>
      <c r="F205" s="3"/>
      <c r="G205" s="4"/>
      <c r="H205" s="5"/>
      <c r="I205" s="6"/>
      <c r="J205" s="41"/>
      <c r="K205" s="41"/>
      <c r="L205" s="41"/>
      <c r="M205" s="41"/>
      <c r="N205" s="41"/>
      <c r="O205" s="50"/>
      <c r="P205" s="50"/>
      <c r="Q205" s="50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0"/>
      <c r="AY205" s="1"/>
      <c r="AZ205" s="1"/>
      <c r="BA205" s="11"/>
      <c r="BB205" s="11"/>
    </row>
    <row r="206" spans="1:54" x14ac:dyDescent="0.15">
      <c r="A206" s="1"/>
      <c r="B206" s="1"/>
      <c r="C206" s="2"/>
      <c r="D206" s="1"/>
      <c r="E206" s="1"/>
      <c r="F206" s="3"/>
      <c r="G206" s="4"/>
      <c r="H206" s="5"/>
      <c r="I206" s="6"/>
      <c r="J206" s="41"/>
      <c r="K206" s="41"/>
      <c r="L206" s="41"/>
      <c r="M206" s="41"/>
      <c r="N206" s="41"/>
      <c r="O206" s="50"/>
      <c r="P206" s="50"/>
      <c r="Q206" s="50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0"/>
      <c r="AY206" s="1"/>
      <c r="AZ206" s="1"/>
      <c r="BA206" s="11"/>
      <c r="BB206" s="11"/>
    </row>
    <row r="207" spans="1:54" x14ac:dyDescent="0.15">
      <c r="A207" s="1"/>
      <c r="B207" s="1"/>
      <c r="C207" s="2"/>
      <c r="D207" s="1"/>
      <c r="E207" s="1"/>
      <c r="F207" s="3"/>
      <c r="G207" s="4"/>
      <c r="H207" s="5"/>
      <c r="I207" s="6"/>
      <c r="J207" s="41"/>
      <c r="K207" s="41"/>
      <c r="L207" s="41"/>
      <c r="M207" s="41"/>
      <c r="N207" s="41"/>
      <c r="O207" s="50"/>
      <c r="P207" s="50"/>
      <c r="Q207" s="50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0"/>
      <c r="AY207" s="1"/>
      <c r="AZ207" s="1"/>
      <c r="BA207" s="11"/>
      <c r="BB207" s="11"/>
    </row>
    <row r="208" spans="1:54" x14ac:dyDescent="0.15">
      <c r="A208" s="1"/>
      <c r="B208" s="1"/>
      <c r="C208" s="2"/>
      <c r="D208" s="1"/>
      <c r="E208" s="1"/>
      <c r="F208" s="3"/>
      <c r="G208" s="4"/>
      <c r="H208" s="5"/>
      <c r="I208" s="6"/>
      <c r="J208" s="41"/>
      <c r="K208" s="41"/>
      <c r="L208" s="41"/>
      <c r="M208" s="41"/>
      <c r="N208" s="41"/>
      <c r="O208" s="50"/>
      <c r="P208" s="50"/>
      <c r="Q208" s="50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0"/>
      <c r="AY208" s="1"/>
      <c r="AZ208" s="1"/>
      <c r="BA208" s="11"/>
      <c r="BB208" s="11"/>
    </row>
    <row r="209" spans="1:54" x14ac:dyDescent="0.15">
      <c r="A209" s="1"/>
      <c r="B209" s="1"/>
      <c r="C209" s="2"/>
      <c r="D209" s="1"/>
      <c r="E209" s="1"/>
      <c r="F209" s="3"/>
      <c r="G209" s="4"/>
      <c r="H209" s="5"/>
      <c r="I209" s="6"/>
      <c r="J209" s="41"/>
      <c r="K209" s="41"/>
      <c r="L209" s="41"/>
      <c r="M209" s="41"/>
      <c r="N209" s="41"/>
      <c r="O209" s="50"/>
      <c r="P209" s="50"/>
      <c r="Q209" s="50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0"/>
      <c r="AY209" s="1"/>
      <c r="AZ209" s="1"/>
      <c r="BA209" s="11"/>
      <c r="BB209" s="11"/>
    </row>
    <row r="210" spans="1:54" x14ac:dyDescent="0.15">
      <c r="A210" s="1"/>
      <c r="B210" s="1"/>
      <c r="C210" s="2"/>
      <c r="D210" s="1"/>
      <c r="E210" s="1"/>
      <c r="F210" s="3"/>
      <c r="G210" s="4"/>
      <c r="H210" s="5"/>
      <c r="I210" s="6"/>
      <c r="J210" s="41"/>
      <c r="K210" s="41"/>
      <c r="L210" s="41"/>
      <c r="M210" s="41"/>
      <c r="N210" s="41"/>
      <c r="O210" s="50"/>
      <c r="P210" s="50"/>
      <c r="Q210" s="50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0"/>
      <c r="AY210" s="1"/>
      <c r="AZ210" s="1"/>
      <c r="BA210" s="11"/>
      <c r="BB210" s="11"/>
    </row>
    <row r="211" spans="1:54" x14ac:dyDescent="0.15">
      <c r="A211" s="1"/>
      <c r="B211" s="1"/>
      <c r="C211" s="2"/>
      <c r="D211" s="1"/>
      <c r="E211" s="1"/>
      <c r="F211" s="3"/>
      <c r="G211" s="4"/>
      <c r="H211" s="5"/>
      <c r="I211" s="6"/>
      <c r="J211" s="41"/>
      <c r="K211" s="41"/>
      <c r="L211" s="41"/>
      <c r="M211" s="41"/>
      <c r="N211" s="41"/>
      <c r="O211" s="50"/>
      <c r="P211" s="50"/>
      <c r="Q211" s="50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0"/>
      <c r="AY211" s="1"/>
      <c r="AZ211" s="1"/>
      <c r="BA211" s="11"/>
      <c r="BB211" s="11"/>
    </row>
    <row r="212" spans="1:54" x14ac:dyDescent="0.15">
      <c r="A212" s="1"/>
      <c r="B212" s="1"/>
      <c r="C212" s="2"/>
      <c r="D212" s="1"/>
      <c r="E212" s="1"/>
      <c r="F212" s="3"/>
      <c r="G212" s="4"/>
      <c r="H212" s="5"/>
      <c r="I212" s="6"/>
      <c r="J212" s="41"/>
      <c r="K212" s="41"/>
      <c r="L212" s="41"/>
      <c r="M212" s="41"/>
      <c r="N212" s="41"/>
      <c r="O212" s="50"/>
      <c r="P212" s="50"/>
      <c r="Q212" s="50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0"/>
      <c r="AY212" s="1"/>
      <c r="AZ212" s="1"/>
      <c r="BA212" s="11"/>
      <c r="BB212" s="11"/>
    </row>
    <row r="213" spans="1:54" x14ac:dyDescent="0.15">
      <c r="A213" s="1"/>
      <c r="B213" s="1"/>
      <c r="C213" s="2"/>
      <c r="D213" s="1"/>
      <c r="E213" s="1"/>
      <c r="F213" s="3"/>
      <c r="G213" s="4"/>
      <c r="H213" s="5"/>
      <c r="I213" s="6"/>
      <c r="J213" s="41"/>
      <c r="K213" s="41"/>
      <c r="L213" s="41"/>
      <c r="M213" s="41"/>
      <c r="N213" s="41"/>
      <c r="O213" s="50"/>
      <c r="P213" s="50"/>
      <c r="Q213" s="50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0"/>
      <c r="AY213" s="1"/>
      <c r="AZ213" s="1"/>
      <c r="BA213" s="11"/>
      <c r="BB213" s="11"/>
    </row>
    <row r="214" spans="1:54" x14ac:dyDescent="0.15">
      <c r="A214" s="1"/>
      <c r="B214" s="1"/>
      <c r="C214" s="2"/>
      <c r="D214" s="1"/>
      <c r="E214" s="1"/>
      <c r="F214" s="3"/>
      <c r="G214" s="4"/>
      <c r="H214" s="5"/>
      <c r="I214" s="6"/>
      <c r="J214" s="41"/>
      <c r="K214" s="41"/>
      <c r="L214" s="41"/>
      <c r="M214" s="41"/>
      <c r="N214" s="41"/>
      <c r="O214" s="50"/>
      <c r="P214" s="50"/>
      <c r="Q214" s="50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0"/>
      <c r="AY214" s="1"/>
      <c r="AZ214" s="1"/>
      <c r="BA214" s="11"/>
      <c r="BB214" s="11"/>
    </row>
    <row r="215" spans="1:54" x14ac:dyDescent="0.15">
      <c r="A215" s="1"/>
      <c r="B215" s="1"/>
      <c r="C215" s="2"/>
      <c r="D215" s="1"/>
      <c r="E215" s="1"/>
      <c r="F215" s="3"/>
      <c r="G215" s="4"/>
      <c r="H215" s="5"/>
      <c r="I215" s="6"/>
      <c r="J215" s="41"/>
      <c r="K215" s="41"/>
      <c r="L215" s="41"/>
      <c r="M215" s="41"/>
      <c r="N215" s="41"/>
      <c r="O215" s="50"/>
      <c r="P215" s="50"/>
      <c r="Q215" s="50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0"/>
      <c r="AY215" s="1"/>
      <c r="AZ215" s="1"/>
      <c r="BA215" s="11"/>
      <c r="BB215" s="11"/>
    </row>
    <row r="216" spans="1:54" x14ac:dyDescent="0.15">
      <c r="A216" s="1"/>
      <c r="B216" s="1"/>
      <c r="C216" s="2"/>
      <c r="D216" s="1"/>
      <c r="E216" s="1"/>
      <c r="F216" s="3"/>
      <c r="G216" s="4"/>
      <c r="H216" s="5"/>
      <c r="I216" s="6"/>
      <c r="J216" s="41"/>
      <c r="K216" s="41"/>
      <c r="L216" s="41"/>
      <c r="M216" s="41"/>
      <c r="N216" s="41"/>
      <c r="O216" s="50"/>
      <c r="P216" s="50"/>
      <c r="Q216" s="50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0"/>
      <c r="AY216" s="1"/>
      <c r="AZ216" s="1"/>
      <c r="BA216" s="11"/>
      <c r="BB216" s="11"/>
    </row>
    <row r="217" spans="1:54" x14ac:dyDescent="0.15">
      <c r="A217" s="1"/>
      <c r="B217" s="1"/>
      <c r="C217" s="2"/>
      <c r="D217" s="1"/>
      <c r="E217" s="1"/>
      <c r="F217" s="3"/>
      <c r="G217" s="4"/>
      <c r="H217" s="5"/>
      <c r="I217" s="6"/>
      <c r="J217" s="41"/>
      <c r="K217" s="41"/>
      <c r="L217" s="41"/>
      <c r="M217" s="41"/>
      <c r="N217" s="41"/>
      <c r="O217" s="50"/>
      <c r="P217" s="50"/>
      <c r="Q217" s="50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0"/>
      <c r="AY217" s="1"/>
      <c r="AZ217" s="1"/>
      <c r="BA217" s="11"/>
      <c r="BB217" s="11"/>
    </row>
    <row r="218" spans="1:54" x14ac:dyDescent="0.15">
      <c r="A218" s="1"/>
      <c r="B218" s="1"/>
      <c r="C218" s="2"/>
      <c r="D218" s="1"/>
      <c r="E218" s="1"/>
      <c r="F218" s="3"/>
      <c r="G218" s="4"/>
      <c r="H218" s="5"/>
      <c r="I218" s="6"/>
      <c r="J218" s="41"/>
      <c r="K218" s="41"/>
      <c r="L218" s="41"/>
      <c r="M218" s="41"/>
      <c r="N218" s="41"/>
      <c r="O218" s="50"/>
      <c r="P218" s="50"/>
      <c r="Q218" s="50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0"/>
      <c r="AY218" s="1"/>
      <c r="AZ218" s="1"/>
      <c r="BA218" s="11"/>
      <c r="BB218" s="11"/>
    </row>
    <row r="219" spans="1:54" x14ac:dyDescent="0.15">
      <c r="A219" s="1"/>
      <c r="B219" s="1"/>
      <c r="C219" s="2"/>
      <c r="D219" s="1"/>
      <c r="E219" s="1"/>
      <c r="F219" s="3"/>
      <c r="G219" s="4"/>
      <c r="H219" s="5"/>
      <c r="I219" s="6"/>
      <c r="J219" s="41"/>
      <c r="K219" s="41"/>
      <c r="L219" s="41"/>
      <c r="M219" s="41"/>
      <c r="N219" s="41"/>
      <c r="O219" s="50"/>
      <c r="P219" s="50"/>
      <c r="Q219" s="50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0"/>
      <c r="AY219" s="1"/>
      <c r="AZ219" s="1"/>
      <c r="BA219" s="11"/>
      <c r="BB219" s="11"/>
    </row>
    <row r="220" spans="1:54" x14ac:dyDescent="0.15">
      <c r="A220" s="1"/>
      <c r="B220" s="1"/>
      <c r="C220" s="2"/>
      <c r="D220" s="1"/>
      <c r="E220" s="1"/>
      <c r="F220" s="3"/>
      <c r="G220" s="4"/>
      <c r="H220" s="5"/>
      <c r="I220" s="6"/>
      <c r="J220" s="41"/>
      <c r="K220" s="41"/>
      <c r="L220" s="41"/>
      <c r="M220" s="41"/>
      <c r="N220" s="41"/>
      <c r="O220" s="50"/>
      <c r="P220" s="50"/>
      <c r="Q220" s="50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0"/>
      <c r="AY220" s="1"/>
      <c r="AZ220" s="1"/>
      <c r="BA220" s="11"/>
      <c r="BB220" s="11"/>
    </row>
    <row r="221" spans="1:54" x14ac:dyDescent="0.15">
      <c r="A221" s="1"/>
      <c r="B221" s="1"/>
      <c r="C221" s="2"/>
      <c r="D221" s="1"/>
      <c r="E221" s="1"/>
      <c r="F221" s="3"/>
      <c r="G221" s="4"/>
      <c r="H221" s="5"/>
      <c r="I221" s="6"/>
      <c r="J221" s="41"/>
      <c r="K221" s="41"/>
      <c r="L221" s="41"/>
      <c r="M221" s="41"/>
      <c r="N221" s="41"/>
      <c r="O221" s="50"/>
      <c r="P221" s="50"/>
      <c r="Q221" s="50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0"/>
      <c r="AY221" s="1"/>
      <c r="AZ221" s="1"/>
      <c r="BA221" s="11"/>
      <c r="BB221" s="11"/>
    </row>
    <row r="222" spans="1:54" x14ac:dyDescent="0.15">
      <c r="A222" s="1"/>
      <c r="B222" s="1"/>
      <c r="C222" s="2"/>
      <c r="D222" s="1"/>
      <c r="E222" s="1"/>
      <c r="F222" s="3"/>
      <c r="G222" s="4"/>
      <c r="H222" s="5"/>
      <c r="I222" s="6"/>
      <c r="J222" s="41"/>
      <c r="K222" s="41"/>
      <c r="L222" s="41"/>
      <c r="M222" s="41"/>
      <c r="N222" s="41"/>
      <c r="O222" s="50"/>
      <c r="P222" s="50"/>
      <c r="Q222" s="50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0"/>
      <c r="AY222" s="1"/>
      <c r="AZ222" s="1"/>
      <c r="BA222" s="11"/>
      <c r="BB222" s="11"/>
    </row>
    <row r="223" spans="1:54" x14ac:dyDescent="0.15">
      <c r="A223" s="1"/>
      <c r="B223" s="1"/>
      <c r="C223" s="2"/>
      <c r="D223" s="1"/>
      <c r="E223" s="1"/>
      <c r="F223" s="3"/>
      <c r="G223" s="4"/>
      <c r="H223" s="5"/>
      <c r="I223" s="6"/>
      <c r="J223" s="41"/>
      <c r="K223" s="41"/>
      <c r="L223" s="41"/>
      <c r="M223" s="41"/>
      <c r="N223" s="41"/>
      <c r="O223" s="50"/>
      <c r="P223" s="50"/>
      <c r="Q223" s="50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0"/>
      <c r="AY223" s="1"/>
      <c r="AZ223" s="1"/>
      <c r="BA223" s="11"/>
      <c r="BB223" s="11"/>
    </row>
    <row r="224" spans="1:54" x14ac:dyDescent="0.15">
      <c r="A224" s="1"/>
      <c r="B224" s="1"/>
      <c r="C224" s="2"/>
      <c r="D224" s="1"/>
      <c r="E224" s="1"/>
      <c r="F224" s="3"/>
      <c r="G224" s="4"/>
      <c r="H224" s="5"/>
      <c r="I224" s="6"/>
      <c r="J224" s="41"/>
      <c r="K224" s="41"/>
      <c r="L224" s="41"/>
      <c r="M224" s="41"/>
      <c r="N224" s="41"/>
      <c r="O224" s="50"/>
      <c r="P224" s="50"/>
      <c r="Q224" s="50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0"/>
      <c r="AY224" s="1"/>
      <c r="AZ224" s="1"/>
      <c r="BA224" s="11"/>
      <c r="BB224" s="11"/>
    </row>
    <row r="225" spans="1:54" x14ac:dyDescent="0.15">
      <c r="A225" s="1"/>
      <c r="B225" s="1"/>
      <c r="C225" s="2"/>
      <c r="D225" s="1"/>
      <c r="E225" s="1"/>
      <c r="F225" s="3"/>
      <c r="G225" s="4"/>
      <c r="H225" s="5"/>
      <c r="I225" s="6"/>
      <c r="J225" s="41"/>
      <c r="K225" s="41"/>
      <c r="L225" s="41"/>
      <c r="M225" s="41"/>
      <c r="N225" s="41"/>
      <c r="O225" s="50"/>
      <c r="P225" s="50"/>
      <c r="Q225" s="50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0"/>
      <c r="AY225" s="1"/>
      <c r="AZ225" s="1"/>
      <c r="BA225" s="11"/>
      <c r="BB225" s="11"/>
    </row>
    <row r="226" spans="1:54" x14ac:dyDescent="0.15">
      <c r="A226" s="1"/>
      <c r="B226" s="1"/>
      <c r="C226" s="2"/>
      <c r="D226" s="1"/>
      <c r="E226" s="1"/>
      <c r="F226" s="3"/>
      <c r="G226" s="4"/>
      <c r="H226" s="5"/>
      <c r="I226" s="6"/>
      <c r="J226" s="41"/>
      <c r="K226" s="41"/>
      <c r="L226" s="41"/>
      <c r="M226" s="41"/>
      <c r="N226" s="41"/>
      <c r="O226" s="50"/>
      <c r="P226" s="50"/>
      <c r="Q226" s="50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0"/>
      <c r="AY226" s="1"/>
      <c r="AZ226" s="1"/>
      <c r="BA226" s="11"/>
      <c r="BB226" s="11"/>
    </row>
    <row r="227" spans="1:54" x14ac:dyDescent="0.15">
      <c r="A227" s="1"/>
      <c r="B227" s="1"/>
      <c r="C227" s="2"/>
      <c r="D227" s="1"/>
      <c r="E227" s="1"/>
      <c r="F227" s="3"/>
      <c r="G227" s="4"/>
      <c r="H227" s="5"/>
      <c r="I227" s="6"/>
      <c r="J227" s="41"/>
      <c r="K227" s="41"/>
      <c r="L227" s="41"/>
      <c r="M227" s="41"/>
      <c r="N227" s="41"/>
      <c r="O227" s="50"/>
      <c r="P227" s="50"/>
      <c r="Q227" s="50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0"/>
      <c r="AY227" s="1"/>
      <c r="AZ227" s="1"/>
      <c r="BA227" s="11"/>
      <c r="BB227" s="11"/>
    </row>
    <row r="228" spans="1:54" x14ac:dyDescent="0.15">
      <c r="A228" s="1"/>
      <c r="B228" s="1"/>
      <c r="C228" s="2"/>
      <c r="D228" s="1"/>
      <c r="E228" s="1"/>
      <c r="F228" s="3"/>
      <c r="G228" s="4"/>
      <c r="H228" s="5"/>
      <c r="I228" s="6"/>
      <c r="J228" s="41"/>
      <c r="K228" s="41"/>
      <c r="L228" s="41"/>
      <c r="M228" s="41"/>
      <c r="N228" s="41"/>
      <c r="O228" s="50"/>
      <c r="P228" s="50"/>
      <c r="Q228" s="50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0"/>
      <c r="AY228" s="1"/>
      <c r="AZ228" s="1"/>
      <c r="BA228" s="11"/>
      <c r="BB228" s="11"/>
    </row>
    <row r="229" spans="1:54" x14ac:dyDescent="0.15">
      <c r="A229" s="1"/>
      <c r="B229" s="1"/>
      <c r="C229" s="2"/>
      <c r="D229" s="1"/>
      <c r="E229" s="1"/>
      <c r="F229" s="3"/>
      <c r="G229" s="4"/>
      <c r="H229" s="5"/>
      <c r="I229" s="6"/>
      <c r="J229" s="41"/>
      <c r="K229" s="41"/>
      <c r="L229" s="41"/>
      <c r="M229" s="41"/>
      <c r="N229" s="41"/>
      <c r="O229" s="50"/>
      <c r="P229" s="50"/>
      <c r="Q229" s="50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0"/>
      <c r="AY229" s="1"/>
      <c r="AZ229" s="1"/>
      <c r="BA229" s="11"/>
      <c r="BB229" s="11"/>
    </row>
    <row r="230" spans="1:54" x14ac:dyDescent="0.15">
      <c r="A230" s="1"/>
      <c r="B230" s="1"/>
      <c r="C230" s="2"/>
      <c r="D230" s="1"/>
      <c r="E230" s="1"/>
      <c r="F230" s="3"/>
      <c r="G230" s="4"/>
      <c r="H230" s="5"/>
      <c r="I230" s="6"/>
      <c r="J230" s="41"/>
      <c r="K230" s="41"/>
      <c r="L230" s="41"/>
      <c r="M230" s="41"/>
      <c r="N230" s="41"/>
      <c r="O230" s="50"/>
      <c r="P230" s="50"/>
      <c r="Q230" s="50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0"/>
      <c r="AY230" s="1"/>
      <c r="AZ230" s="1"/>
      <c r="BA230" s="11"/>
      <c r="BB230" s="11"/>
    </row>
    <row r="231" spans="1:54" x14ac:dyDescent="0.15">
      <c r="A231" s="1"/>
      <c r="B231" s="1"/>
      <c r="C231" s="2"/>
      <c r="D231" s="1"/>
      <c r="E231" s="1"/>
      <c r="F231" s="3"/>
      <c r="G231" s="4"/>
      <c r="H231" s="5"/>
      <c r="I231" s="6"/>
      <c r="J231" s="41"/>
      <c r="K231" s="41"/>
      <c r="L231" s="41"/>
      <c r="M231" s="41"/>
      <c r="N231" s="41"/>
      <c r="O231" s="50"/>
      <c r="P231" s="50"/>
      <c r="Q231" s="50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0"/>
      <c r="AY231" s="1"/>
      <c r="AZ231" s="1"/>
      <c r="BA231" s="11"/>
      <c r="BB231" s="11"/>
    </row>
    <row r="232" spans="1:54" x14ac:dyDescent="0.15">
      <c r="A232" s="1"/>
      <c r="B232" s="1"/>
      <c r="C232" s="2"/>
      <c r="D232" s="1"/>
      <c r="E232" s="1"/>
      <c r="F232" s="3"/>
      <c r="G232" s="4"/>
      <c r="H232" s="5"/>
      <c r="I232" s="6"/>
      <c r="J232" s="41"/>
      <c r="K232" s="41"/>
      <c r="L232" s="41"/>
      <c r="M232" s="41"/>
      <c r="N232" s="41"/>
      <c r="O232" s="50"/>
      <c r="P232" s="50"/>
      <c r="Q232" s="50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0"/>
      <c r="AY232" s="1"/>
      <c r="AZ232" s="1"/>
      <c r="BA232" s="11"/>
      <c r="BB232" s="11"/>
    </row>
    <row r="233" spans="1:54" x14ac:dyDescent="0.15">
      <c r="A233" s="1"/>
      <c r="B233" s="1"/>
      <c r="C233" s="2"/>
      <c r="D233" s="1"/>
      <c r="E233" s="1"/>
      <c r="F233" s="3"/>
      <c r="G233" s="4"/>
      <c r="H233" s="5"/>
      <c r="I233" s="6"/>
      <c r="J233" s="41"/>
      <c r="K233" s="41"/>
      <c r="L233" s="41"/>
      <c r="M233" s="41"/>
      <c r="N233" s="41"/>
      <c r="O233" s="50"/>
      <c r="P233" s="50"/>
      <c r="Q233" s="50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0"/>
      <c r="AY233" s="1"/>
      <c r="AZ233" s="1"/>
      <c r="BA233" s="11"/>
      <c r="BB233" s="11"/>
    </row>
    <row r="234" spans="1:54" x14ac:dyDescent="0.15">
      <c r="A234" s="1"/>
      <c r="B234" s="1"/>
      <c r="C234" s="2"/>
      <c r="D234" s="1"/>
      <c r="E234" s="1"/>
      <c r="F234" s="3"/>
      <c r="G234" s="4"/>
      <c r="H234" s="5"/>
      <c r="I234" s="6"/>
      <c r="J234" s="41"/>
      <c r="K234" s="41"/>
      <c r="L234" s="41"/>
      <c r="M234" s="41"/>
      <c r="N234" s="41"/>
      <c r="O234" s="50"/>
      <c r="P234" s="50"/>
      <c r="Q234" s="50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0"/>
      <c r="AY234" s="1"/>
      <c r="AZ234" s="1"/>
      <c r="BA234" s="11"/>
      <c r="BB234" s="11"/>
    </row>
    <row r="235" spans="1:54" x14ac:dyDescent="0.15">
      <c r="A235" s="1"/>
      <c r="B235" s="1"/>
      <c r="C235" s="2"/>
      <c r="D235" s="1"/>
      <c r="E235" s="1"/>
      <c r="F235" s="3"/>
      <c r="G235" s="4"/>
      <c r="H235" s="5"/>
      <c r="I235" s="6"/>
      <c r="J235" s="41"/>
      <c r="K235" s="41"/>
      <c r="L235" s="41"/>
      <c r="M235" s="41"/>
      <c r="N235" s="41"/>
      <c r="O235" s="50"/>
      <c r="P235" s="50"/>
      <c r="Q235" s="50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0"/>
      <c r="AY235" s="1"/>
      <c r="AZ235" s="1"/>
      <c r="BA235" s="11"/>
      <c r="BB235" s="11"/>
    </row>
    <row r="236" spans="1:54" x14ac:dyDescent="0.15">
      <c r="A236" s="1"/>
      <c r="B236" s="1"/>
      <c r="C236" s="2"/>
      <c r="D236" s="1"/>
      <c r="E236" s="1"/>
      <c r="F236" s="3"/>
      <c r="G236" s="4"/>
      <c r="H236" s="5"/>
      <c r="I236" s="6"/>
      <c r="J236" s="41"/>
      <c r="K236" s="41"/>
      <c r="L236" s="41"/>
      <c r="M236" s="41"/>
      <c r="N236" s="41"/>
      <c r="O236" s="50"/>
      <c r="P236" s="50"/>
      <c r="Q236" s="50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0"/>
      <c r="AY236" s="1"/>
      <c r="AZ236" s="1"/>
      <c r="BA236" s="11"/>
      <c r="BB236" s="11"/>
    </row>
    <row r="237" spans="1:54" x14ac:dyDescent="0.15">
      <c r="A237" s="1"/>
      <c r="B237" s="1"/>
      <c r="C237" s="2"/>
      <c r="D237" s="1"/>
      <c r="E237" s="1"/>
      <c r="F237" s="3"/>
      <c r="G237" s="4"/>
      <c r="H237" s="5"/>
      <c r="I237" s="6"/>
      <c r="J237" s="41"/>
      <c r="K237" s="41"/>
      <c r="L237" s="41"/>
      <c r="M237" s="41"/>
      <c r="N237" s="41"/>
      <c r="O237" s="50"/>
      <c r="P237" s="50"/>
      <c r="Q237" s="50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0"/>
      <c r="AY237" s="1"/>
      <c r="AZ237" s="1"/>
      <c r="BA237" s="11"/>
      <c r="BB237" s="11"/>
    </row>
    <row r="238" spans="1:54" x14ac:dyDescent="0.15">
      <c r="A238" s="1"/>
      <c r="B238" s="1"/>
      <c r="C238" s="2"/>
      <c r="D238" s="1"/>
      <c r="E238" s="1"/>
      <c r="F238" s="3"/>
      <c r="G238" s="4"/>
      <c r="H238" s="5"/>
      <c r="I238" s="6"/>
      <c r="J238" s="41"/>
      <c r="K238" s="41"/>
      <c r="L238" s="41"/>
      <c r="M238" s="41"/>
      <c r="N238" s="41"/>
      <c r="O238" s="50"/>
      <c r="P238" s="50"/>
      <c r="Q238" s="50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0"/>
      <c r="AY238" s="1"/>
      <c r="AZ238" s="1"/>
      <c r="BA238" s="11"/>
      <c r="BB238" s="11"/>
    </row>
    <row r="239" spans="1:54" x14ac:dyDescent="0.15">
      <c r="A239" s="1"/>
      <c r="B239" s="1"/>
      <c r="C239" s="2"/>
      <c r="D239" s="1"/>
      <c r="E239" s="1"/>
      <c r="F239" s="3"/>
      <c r="G239" s="4"/>
      <c r="H239" s="5"/>
      <c r="I239" s="6"/>
      <c r="J239" s="41"/>
      <c r="K239" s="41"/>
      <c r="L239" s="41"/>
      <c r="M239" s="41"/>
      <c r="N239" s="41"/>
      <c r="O239" s="50"/>
      <c r="P239" s="50"/>
      <c r="Q239" s="50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0"/>
      <c r="AY239" s="1"/>
      <c r="AZ239" s="1"/>
      <c r="BA239" s="11"/>
      <c r="BB239" s="11"/>
    </row>
    <row r="240" spans="1:54" x14ac:dyDescent="0.15">
      <c r="A240" s="1"/>
      <c r="B240" s="1"/>
      <c r="C240" s="2"/>
      <c r="D240" s="1"/>
      <c r="E240" s="1"/>
      <c r="F240" s="3"/>
      <c r="G240" s="4"/>
      <c r="H240" s="5"/>
      <c r="I240" s="6"/>
      <c r="J240" s="41"/>
      <c r="K240" s="41"/>
      <c r="L240" s="41"/>
      <c r="M240" s="41"/>
      <c r="N240" s="41"/>
      <c r="O240" s="50"/>
      <c r="P240" s="50"/>
      <c r="Q240" s="50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0"/>
      <c r="AY240" s="1"/>
      <c r="AZ240" s="1"/>
      <c r="BA240" s="11"/>
      <c r="BB240" s="11"/>
    </row>
    <row r="241" spans="1:54" x14ac:dyDescent="0.15">
      <c r="A241" s="1"/>
      <c r="B241" s="1"/>
      <c r="C241" s="2"/>
      <c r="D241" s="1"/>
      <c r="E241" s="1"/>
      <c r="F241" s="3"/>
      <c r="G241" s="4"/>
      <c r="H241" s="5"/>
      <c r="I241" s="6"/>
      <c r="J241" s="41"/>
      <c r="K241" s="41"/>
      <c r="L241" s="41"/>
      <c r="M241" s="41"/>
      <c r="N241" s="41"/>
      <c r="O241" s="50"/>
      <c r="P241" s="50"/>
      <c r="Q241" s="50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0"/>
      <c r="AY241" s="1"/>
      <c r="AZ241" s="1"/>
      <c r="BA241" s="11"/>
      <c r="BB241" s="11"/>
    </row>
    <row r="242" spans="1:54" x14ac:dyDescent="0.15">
      <c r="A242" s="1"/>
      <c r="B242" s="1"/>
      <c r="C242" s="2"/>
      <c r="D242" s="1"/>
      <c r="E242" s="1"/>
      <c r="F242" s="3"/>
      <c r="G242" s="4"/>
      <c r="H242" s="5"/>
      <c r="I242" s="6"/>
      <c r="J242" s="41"/>
      <c r="K242" s="41"/>
      <c r="L242" s="41"/>
      <c r="M242" s="41"/>
      <c r="N242" s="41"/>
      <c r="O242" s="50"/>
      <c r="P242" s="50"/>
      <c r="Q242" s="50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0"/>
      <c r="AY242" s="1"/>
      <c r="AZ242" s="1"/>
      <c r="BA242" s="11"/>
      <c r="BB242" s="11"/>
    </row>
    <row r="243" spans="1:54" x14ac:dyDescent="0.15">
      <c r="A243" s="1"/>
      <c r="B243" s="1"/>
      <c r="C243" s="2"/>
      <c r="D243" s="1"/>
      <c r="E243" s="1"/>
      <c r="F243" s="3"/>
      <c r="G243" s="4"/>
      <c r="H243" s="5"/>
      <c r="I243" s="6"/>
      <c r="J243" s="41"/>
      <c r="K243" s="41"/>
      <c r="L243" s="41"/>
      <c r="M243" s="41"/>
      <c r="N243" s="41"/>
      <c r="O243" s="50"/>
      <c r="P243" s="50"/>
      <c r="Q243" s="50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0"/>
      <c r="AY243" s="1"/>
      <c r="AZ243" s="1"/>
      <c r="BA243" s="11"/>
      <c r="BB243" s="11"/>
    </row>
    <row r="244" spans="1:54" x14ac:dyDescent="0.15">
      <c r="A244" s="1"/>
      <c r="B244" s="1"/>
      <c r="C244" s="2"/>
      <c r="D244" s="1"/>
      <c r="E244" s="1"/>
      <c r="F244" s="3"/>
      <c r="G244" s="4"/>
      <c r="H244" s="5"/>
      <c r="I244" s="6"/>
      <c r="J244" s="41"/>
      <c r="K244" s="41"/>
      <c r="L244" s="41"/>
      <c r="M244" s="41"/>
      <c r="N244" s="41"/>
      <c r="O244" s="50"/>
      <c r="P244" s="50"/>
      <c r="Q244" s="50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0"/>
      <c r="AY244" s="1"/>
      <c r="AZ244" s="1"/>
      <c r="BA244" s="11"/>
      <c r="BB244" s="11"/>
    </row>
    <row r="245" spans="1:54" x14ac:dyDescent="0.15">
      <c r="A245" s="1"/>
      <c r="B245" s="1"/>
      <c r="C245" s="2"/>
      <c r="D245" s="1"/>
      <c r="E245" s="1"/>
      <c r="F245" s="3"/>
      <c r="G245" s="4"/>
      <c r="H245" s="5"/>
      <c r="I245" s="6"/>
      <c r="J245" s="41"/>
      <c r="K245" s="41"/>
      <c r="L245" s="41"/>
      <c r="M245" s="41"/>
      <c r="N245" s="41"/>
      <c r="O245" s="50"/>
      <c r="P245" s="50"/>
      <c r="Q245" s="50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0"/>
      <c r="AY245" s="1"/>
      <c r="AZ245" s="1"/>
      <c r="BA245" s="11"/>
      <c r="BB245" s="11"/>
    </row>
    <row r="246" spans="1:54" x14ac:dyDescent="0.15">
      <c r="A246" s="1"/>
      <c r="B246" s="1"/>
      <c r="C246" s="2"/>
      <c r="D246" s="1"/>
      <c r="E246" s="1"/>
      <c r="F246" s="3"/>
      <c r="G246" s="4"/>
      <c r="H246" s="5"/>
      <c r="I246" s="6"/>
      <c r="J246" s="41"/>
      <c r="K246" s="41"/>
      <c r="L246" s="41"/>
      <c r="M246" s="41"/>
      <c r="N246" s="41"/>
      <c r="O246" s="50"/>
      <c r="P246" s="50"/>
      <c r="Q246" s="50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0"/>
      <c r="AY246" s="1"/>
      <c r="AZ246" s="1"/>
      <c r="BA246" s="11"/>
      <c r="BB246" s="11"/>
    </row>
    <row r="247" spans="1:54" x14ac:dyDescent="0.15">
      <c r="A247" s="1"/>
      <c r="B247" s="1"/>
      <c r="C247" s="2"/>
      <c r="D247" s="1"/>
      <c r="E247" s="1"/>
      <c r="F247" s="3"/>
      <c r="G247" s="4"/>
      <c r="H247" s="5"/>
      <c r="I247" s="6"/>
      <c r="J247" s="41"/>
      <c r="K247" s="41"/>
      <c r="L247" s="41"/>
      <c r="M247" s="41"/>
      <c r="N247" s="41"/>
      <c r="O247" s="50"/>
      <c r="P247" s="50"/>
      <c r="Q247" s="50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0"/>
      <c r="AY247" s="1"/>
      <c r="AZ247" s="1"/>
      <c r="BA247" s="11"/>
      <c r="BB247" s="11"/>
    </row>
    <row r="248" spans="1:54" x14ac:dyDescent="0.15">
      <c r="A248" s="1"/>
      <c r="B248" s="1"/>
      <c r="C248" s="2"/>
      <c r="D248" s="1"/>
      <c r="E248" s="1"/>
      <c r="F248" s="3"/>
      <c r="G248" s="4"/>
      <c r="H248" s="5"/>
      <c r="I248" s="6"/>
      <c r="J248" s="41"/>
      <c r="K248" s="41"/>
      <c r="L248" s="41"/>
      <c r="M248" s="41"/>
      <c r="N248" s="41"/>
      <c r="O248" s="50"/>
      <c r="P248" s="50"/>
      <c r="Q248" s="50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0"/>
      <c r="AY248" s="1"/>
      <c r="AZ248" s="1"/>
      <c r="BA248" s="11"/>
      <c r="BB248" s="11"/>
    </row>
    <row r="249" spans="1:54" x14ac:dyDescent="0.15">
      <c r="A249" s="1"/>
      <c r="B249" s="1"/>
      <c r="C249" s="2"/>
      <c r="D249" s="1"/>
      <c r="E249" s="1"/>
      <c r="F249" s="3"/>
      <c r="G249" s="4"/>
      <c r="H249" s="5"/>
      <c r="I249" s="6"/>
      <c r="J249" s="41"/>
      <c r="K249" s="41"/>
      <c r="L249" s="41"/>
      <c r="M249" s="41"/>
      <c r="N249" s="41"/>
      <c r="O249" s="50"/>
      <c r="P249" s="50"/>
      <c r="Q249" s="50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0"/>
      <c r="AY249" s="1"/>
      <c r="AZ249" s="1"/>
      <c r="BA249" s="11"/>
      <c r="BB249" s="11"/>
    </row>
    <row r="250" spans="1:54" x14ac:dyDescent="0.15">
      <c r="A250" s="1"/>
      <c r="B250" s="1"/>
      <c r="C250" s="2"/>
      <c r="D250" s="1"/>
      <c r="E250" s="1"/>
      <c r="F250" s="3"/>
      <c r="G250" s="4"/>
      <c r="H250" s="5"/>
      <c r="I250" s="6"/>
      <c r="J250" s="41"/>
      <c r="K250" s="41"/>
      <c r="L250" s="41"/>
      <c r="M250" s="41"/>
      <c r="N250" s="41"/>
      <c r="O250" s="50"/>
      <c r="P250" s="50"/>
      <c r="Q250" s="50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0"/>
      <c r="AY250" s="1"/>
      <c r="AZ250" s="1"/>
      <c r="BA250" s="11"/>
      <c r="BB250" s="11"/>
    </row>
    <row r="251" spans="1:54" x14ac:dyDescent="0.15">
      <c r="A251" s="1"/>
      <c r="B251" s="1"/>
      <c r="C251" s="2"/>
      <c r="D251" s="1"/>
      <c r="E251" s="1"/>
      <c r="F251" s="3"/>
      <c r="G251" s="4"/>
      <c r="H251" s="5"/>
      <c r="I251" s="6"/>
      <c r="J251" s="41"/>
      <c r="K251" s="41"/>
      <c r="L251" s="41"/>
      <c r="M251" s="41"/>
      <c r="N251" s="41"/>
      <c r="O251" s="50"/>
      <c r="P251" s="50"/>
      <c r="Q251" s="50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0"/>
      <c r="AY251" s="1"/>
      <c r="AZ251" s="1"/>
      <c r="BA251" s="11"/>
      <c r="BB251" s="11"/>
    </row>
    <row r="252" spans="1:54" x14ac:dyDescent="0.15">
      <c r="A252" s="1"/>
      <c r="B252" s="1"/>
      <c r="C252" s="2"/>
      <c r="D252" s="1"/>
      <c r="E252" s="1"/>
      <c r="F252" s="3"/>
      <c r="G252" s="4"/>
      <c r="H252" s="5"/>
      <c r="I252" s="6"/>
      <c r="J252" s="41"/>
      <c r="K252" s="41"/>
      <c r="L252" s="41"/>
      <c r="M252" s="41"/>
      <c r="N252" s="41"/>
      <c r="O252" s="50"/>
      <c r="P252" s="50"/>
      <c r="Q252" s="50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0"/>
      <c r="AY252" s="1"/>
      <c r="AZ252" s="1"/>
      <c r="BA252" s="11"/>
      <c r="BB252" s="11"/>
    </row>
    <row r="253" spans="1:54" x14ac:dyDescent="0.15">
      <c r="A253" s="1"/>
      <c r="B253" s="1"/>
      <c r="C253" s="2"/>
      <c r="D253" s="1"/>
      <c r="E253" s="1"/>
      <c r="F253" s="3"/>
      <c r="G253" s="4"/>
      <c r="H253" s="5"/>
      <c r="I253" s="6"/>
      <c r="J253" s="41"/>
      <c r="K253" s="41"/>
      <c r="L253" s="41"/>
      <c r="M253" s="41"/>
      <c r="N253" s="41"/>
      <c r="O253" s="50"/>
      <c r="P253" s="50"/>
      <c r="Q253" s="50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0"/>
      <c r="AY253" s="1"/>
      <c r="AZ253" s="1"/>
      <c r="BA253" s="11"/>
      <c r="BB253" s="11"/>
    </row>
    <row r="254" spans="1:54" x14ac:dyDescent="0.15">
      <c r="A254" s="1"/>
      <c r="B254" s="1"/>
      <c r="C254" s="2"/>
      <c r="D254" s="1"/>
      <c r="E254" s="1"/>
      <c r="F254" s="3"/>
      <c r="G254" s="4"/>
      <c r="H254" s="5"/>
      <c r="I254" s="6"/>
      <c r="J254" s="41"/>
      <c r="K254" s="41"/>
      <c r="L254" s="41"/>
      <c r="M254" s="41"/>
      <c r="N254" s="41"/>
      <c r="O254" s="50"/>
      <c r="P254" s="50"/>
      <c r="Q254" s="50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0"/>
      <c r="AY254" s="1"/>
      <c r="AZ254" s="1"/>
      <c r="BA254" s="11"/>
      <c r="BB254" s="11"/>
    </row>
    <row r="255" spans="1:54" x14ac:dyDescent="0.15">
      <c r="A255" s="1"/>
      <c r="B255" s="1"/>
      <c r="C255" s="2"/>
      <c r="D255" s="1"/>
      <c r="E255" s="1"/>
      <c r="F255" s="3"/>
      <c r="G255" s="4"/>
      <c r="H255" s="5"/>
      <c r="I255" s="6"/>
      <c r="J255" s="41"/>
      <c r="K255" s="41"/>
      <c r="L255" s="41"/>
      <c r="M255" s="41"/>
      <c r="N255" s="41"/>
      <c r="O255" s="50"/>
      <c r="P255" s="50"/>
      <c r="Q255" s="50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0"/>
      <c r="AY255" s="1"/>
      <c r="AZ255" s="1"/>
      <c r="BA255" s="11"/>
      <c r="BB255" s="11"/>
    </row>
    <row r="256" spans="1:54" x14ac:dyDescent="0.15">
      <c r="A256" s="1"/>
      <c r="B256" s="1"/>
      <c r="C256" s="2"/>
      <c r="D256" s="1"/>
      <c r="E256" s="1"/>
      <c r="F256" s="3"/>
      <c r="G256" s="4"/>
      <c r="H256" s="5"/>
      <c r="I256" s="6"/>
      <c r="J256" s="41"/>
      <c r="K256" s="41"/>
      <c r="L256" s="41"/>
      <c r="M256" s="41"/>
      <c r="N256" s="41"/>
      <c r="O256" s="50"/>
      <c r="P256" s="50"/>
      <c r="Q256" s="50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0"/>
      <c r="AY256" s="1"/>
      <c r="AZ256" s="1"/>
      <c r="BA256" s="11"/>
      <c r="BB256" s="11"/>
    </row>
    <row r="257" spans="1:54" x14ac:dyDescent="0.15">
      <c r="A257" s="1"/>
      <c r="B257" s="1"/>
      <c r="C257" s="2"/>
      <c r="D257" s="1"/>
      <c r="E257" s="1"/>
      <c r="F257" s="3"/>
      <c r="G257" s="4"/>
      <c r="H257" s="5"/>
      <c r="I257" s="6"/>
      <c r="J257" s="41"/>
      <c r="K257" s="41"/>
      <c r="L257" s="41"/>
      <c r="M257" s="41"/>
      <c r="N257" s="41"/>
      <c r="O257" s="50"/>
      <c r="P257" s="50"/>
      <c r="Q257" s="50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0"/>
      <c r="AY257" s="1"/>
      <c r="AZ257" s="1"/>
      <c r="BA257" s="11"/>
      <c r="BB257" s="11"/>
    </row>
    <row r="258" spans="1:54" x14ac:dyDescent="0.15">
      <c r="A258" s="1"/>
      <c r="B258" s="1"/>
      <c r="C258" s="2"/>
      <c r="D258" s="1"/>
      <c r="E258" s="1"/>
      <c r="F258" s="3"/>
      <c r="G258" s="4"/>
      <c r="H258" s="5"/>
      <c r="I258" s="6"/>
      <c r="J258" s="41"/>
      <c r="K258" s="41"/>
      <c r="L258" s="41"/>
      <c r="M258" s="41"/>
      <c r="N258" s="41"/>
      <c r="O258" s="50"/>
      <c r="P258" s="50"/>
      <c r="Q258" s="50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0"/>
      <c r="AY258" s="1"/>
      <c r="AZ258" s="1"/>
      <c r="BA258" s="11"/>
      <c r="BB258" s="11"/>
    </row>
    <row r="259" spans="1:54" x14ac:dyDescent="0.15">
      <c r="A259" s="1"/>
      <c r="B259" s="1"/>
      <c r="C259" s="2"/>
      <c r="D259" s="1"/>
      <c r="E259" s="1"/>
      <c r="F259" s="3"/>
      <c r="G259" s="4"/>
      <c r="H259" s="5"/>
      <c r="I259" s="6"/>
      <c r="J259" s="41"/>
      <c r="K259" s="41"/>
      <c r="L259" s="41"/>
      <c r="M259" s="41"/>
      <c r="N259" s="41"/>
      <c r="O259" s="50"/>
      <c r="P259" s="50"/>
      <c r="Q259" s="50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0"/>
      <c r="AY259" s="1"/>
      <c r="AZ259" s="1"/>
      <c r="BA259" s="11"/>
      <c r="BB259" s="11"/>
    </row>
    <row r="260" spans="1:54" x14ac:dyDescent="0.15">
      <c r="A260" s="1"/>
      <c r="B260" s="1"/>
      <c r="C260" s="2"/>
      <c r="D260" s="1"/>
      <c r="E260" s="1"/>
      <c r="F260" s="3"/>
      <c r="G260" s="4"/>
      <c r="H260" s="5"/>
      <c r="I260" s="6"/>
      <c r="J260" s="41"/>
      <c r="K260" s="41"/>
      <c r="L260" s="41"/>
      <c r="M260" s="41"/>
      <c r="N260" s="41"/>
      <c r="O260" s="50"/>
      <c r="P260" s="50"/>
      <c r="Q260" s="50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0"/>
      <c r="AY260" s="1"/>
      <c r="AZ260" s="1"/>
      <c r="BA260" s="11"/>
      <c r="BB260" s="11"/>
    </row>
    <row r="261" spans="1:54" x14ac:dyDescent="0.15">
      <c r="A261" s="1"/>
      <c r="B261" s="1"/>
      <c r="C261" s="2"/>
      <c r="D261" s="1"/>
      <c r="E261" s="1"/>
      <c r="F261" s="3"/>
      <c r="G261" s="4"/>
      <c r="H261" s="5"/>
      <c r="I261" s="6"/>
      <c r="J261" s="41"/>
      <c r="K261" s="41"/>
      <c r="L261" s="41"/>
      <c r="M261" s="41"/>
      <c r="N261" s="41"/>
      <c r="O261" s="50"/>
      <c r="P261" s="50"/>
      <c r="Q261" s="50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0"/>
      <c r="AY261" s="1"/>
      <c r="AZ261" s="1"/>
      <c r="BA261" s="11"/>
      <c r="BB261" s="11"/>
    </row>
    <row r="262" spans="1:54" x14ac:dyDescent="0.15">
      <c r="A262" s="1"/>
      <c r="B262" s="1"/>
      <c r="C262" s="2"/>
      <c r="D262" s="1"/>
      <c r="E262" s="1"/>
      <c r="F262" s="3"/>
      <c r="G262" s="4"/>
      <c r="H262" s="5"/>
      <c r="I262" s="6"/>
      <c r="J262" s="41"/>
      <c r="K262" s="41"/>
      <c r="L262" s="41"/>
      <c r="M262" s="41"/>
      <c r="N262" s="41"/>
      <c r="O262" s="50"/>
      <c r="P262" s="50"/>
      <c r="Q262" s="50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0"/>
      <c r="AY262" s="1"/>
      <c r="AZ262" s="1"/>
      <c r="BA262" s="11"/>
      <c r="BB262" s="11"/>
    </row>
    <row r="263" spans="1:54" x14ac:dyDescent="0.15">
      <c r="A263" s="1"/>
      <c r="B263" s="1"/>
      <c r="C263" s="2"/>
      <c r="D263" s="1"/>
      <c r="E263" s="1"/>
      <c r="F263" s="3"/>
      <c r="G263" s="4"/>
      <c r="H263" s="5"/>
      <c r="I263" s="6"/>
      <c r="J263" s="41"/>
      <c r="K263" s="41"/>
      <c r="L263" s="41"/>
      <c r="M263" s="41"/>
      <c r="N263" s="41"/>
      <c r="O263" s="50"/>
      <c r="P263" s="50"/>
      <c r="Q263" s="50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0"/>
      <c r="AY263" s="1"/>
      <c r="AZ263" s="1"/>
      <c r="BA263" s="11"/>
      <c r="BB263" s="11"/>
    </row>
    <row r="264" spans="1:54" x14ac:dyDescent="0.15">
      <c r="A264" s="1"/>
      <c r="B264" s="1"/>
      <c r="C264" s="2"/>
      <c r="D264" s="1"/>
      <c r="E264" s="1"/>
      <c r="F264" s="3"/>
      <c r="G264" s="4"/>
      <c r="H264" s="5"/>
      <c r="I264" s="6"/>
      <c r="J264" s="41"/>
      <c r="K264" s="41"/>
      <c r="L264" s="41"/>
      <c r="M264" s="41"/>
      <c r="N264" s="41"/>
      <c r="O264" s="50"/>
      <c r="P264" s="50"/>
      <c r="Q264" s="50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0"/>
      <c r="AY264" s="1"/>
      <c r="AZ264" s="1"/>
      <c r="BA264" s="11"/>
      <c r="BB264" s="11"/>
    </row>
    <row r="265" spans="1:54" x14ac:dyDescent="0.15">
      <c r="A265" s="1"/>
      <c r="B265" s="1"/>
      <c r="C265" s="2"/>
      <c r="D265" s="1"/>
      <c r="E265" s="1"/>
      <c r="F265" s="3"/>
      <c r="G265" s="4"/>
      <c r="H265" s="5"/>
      <c r="I265" s="6"/>
      <c r="J265" s="41"/>
      <c r="K265" s="41"/>
      <c r="L265" s="41"/>
      <c r="M265" s="41"/>
      <c r="N265" s="41"/>
      <c r="O265" s="50"/>
      <c r="P265" s="50"/>
      <c r="Q265" s="50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0"/>
      <c r="AY265" s="1"/>
      <c r="AZ265" s="1"/>
      <c r="BA265" s="11"/>
      <c r="BB265" s="11"/>
    </row>
    <row r="266" spans="1:54" x14ac:dyDescent="0.15">
      <c r="A266" s="1"/>
      <c r="B266" s="1"/>
      <c r="C266" s="2"/>
      <c r="D266" s="1"/>
      <c r="E266" s="1"/>
      <c r="F266" s="3"/>
      <c r="G266" s="4"/>
      <c r="H266" s="5"/>
      <c r="I266" s="6"/>
      <c r="J266" s="41"/>
      <c r="K266" s="41"/>
      <c r="L266" s="41"/>
      <c r="M266" s="41"/>
      <c r="N266" s="41"/>
      <c r="O266" s="50"/>
      <c r="P266" s="50"/>
      <c r="Q266" s="50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0"/>
      <c r="AY266" s="1"/>
      <c r="AZ266" s="1"/>
      <c r="BA266" s="11"/>
      <c r="BB266" s="11"/>
    </row>
    <row r="267" spans="1:54" x14ac:dyDescent="0.15">
      <c r="A267" s="1"/>
      <c r="B267" s="1"/>
      <c r="C267" s="2"/>
      <c r="D267" s="1"/>
      <c r="E267" s="1"/>
      <c r="F267" s="3"/>
      <c r="G267" s="4"/>
      <c r="H267" s="5"/>
      <c r="I267" s="6"/>
      <c r="J267" s="41"/>
      <c r="K267" s="41"/>
      <c r="L267" s="41"/>
      <c r="M267" s="41"/>
      <c r="N267" s="41"/>
      <c r="O267" s="50"/>
      <c r="P267" s="50"/>
      <c r="Q267" s="50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0"/>
      <c r="AY267" s="1"/>
      <c r="AZ267" s="1"/>
      <c r="BA267" s="11"/>
      <c r="BB267" s="11"/>
    </row>
    <row r="268" spans="1:54" x14ac:dyDescent="0.15">
      <c r="A268" s="1"/>
      <c r="B268" s="1"/>
      <c r="C268" s="2"/>
      <c r="D268" s="1"/>
      <c r="E268" s="1"/>
      <c r="F268" s="3"/>
      <c r="G268" s="4"/>
      <c r="H268" s="5"/>
      <c r="I268" s="6"/>
      <c r="J268" s="41"/>
      <c r="K268" s="41"/>
      <c r="L268" s="41"/>
      <c r="M268" s="41"/>
      <c r="N268" s="41"/>
      <c r="O268" s="50"/>
      <c r="P268" s="50"/>
      <c r="Q268" s="50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0"/>
      <c r="AY268" s="1"/>
      <c r="AZ268" s="1"/>
      <c r="BA268" s="11"/>
      <c r="BB268" s="11"/>
    </row>
    <row r="269" spans="1:54" x14ac:dyDescent="0.15">
      <c r="A269" s="1"/>
      <c r="B269" s="1"/>
      <c r="C269" s="2"/>
      <c r="D269" s="1"/>
      <c r="E269" s="1"/>
      <c r="F269" s="3"/>
      <c r="G269" s="4"/>
      <c r="H269" s="5"/>
      <c r="I269" s="6"/>
      <c r="J269" s="41"/>
      <c r="K269" s="41"/>
      <c r="L269" s="41"/>
      <c r="M269" s="41"/>
      <c r="N269" s="41"/>
      <c r="O269" s="50"/>
      <c r="P269" s="50"/>
      <c r="Q269" s="50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0"/>
      <c r="AY269" s="1"/>
      <c r="AZ269" s="1"/>
      <c r="BA269" s="11"/>
      <c r="BB269" s="11"/>
    </row>
    <row r="270" spans="1:54" x14ac:dyDescent="0.15">
      <c r="A270" s="1"/>
      <c r="B270" s="1"/>
      <c r="C270" s="2"/>
      <c r="D270" s="1"/>
      <c r="E270" s="1"/>
      <c r="F270" s="3"/>
      <c r="G270" s="4"/>
      <c r="H270" s="5"/>
      <c r="I270" s="6"/>
      <c r="J270" s="41"/>
      <c r="K270" s="41"/>
      <c r="L270" s="41"/>
      <c r="M270" s="41"/>
      <c r="N270" s="41"/>
      <c r="O270" s="50"/>
      <c r="P270" s="50"/>
      <c r="Q270" s="50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0"/>
      <c r="AY270" s="1"/>
      <c r="AZ270" s="1"/>
      <c r="BA270" s="11"/>
      <c r="BB270" s="11"/>
    </row>
    <row r="271" spans="1:54" x14ac:dyDescent="0.15">
      <c r="A271" s="1"/>
      <c r="B271" s="1"/>
      <c r="C271" s="2"/>
      <c r="D271" s="1"/>
      <c r="E271" s="1"/>
      <c r="F271" s="3"/>
      <c r="G271" s="4"/>
      <c r="H271" s="5"/>
      <c r="I271" s="6"/>
      <c r="J271" s="41"/>
      <c r="K271" s="41"/>
      <c r="L271" s="41"/>
      <c r="M271" s="41"/>
      <c r="N271" s="41"/>
      <c r="O271" s="50"/>
      <c r="P271" s="50"/>
      <c r="Q271" s="50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0"/>
      <c r="AY271" s="1"/>
      <c r="AZ271" s="1"/>
      <c r="BA271" s="11"/>
      <c r="BB271" s="11"/>
    </row>
    <row r="272" spans="1:54" x14ac:dyDescent="0.15">
      <c r="A272" s="1"/>
      <c r="B272" s="1"/>
      <c r="C272" s="2"/>
      <c r="D272" s="1"/>
      <c r="E272" s="1"/>
      <c r="F272" s="3"/>
      <c r="G272" s="4"/>
      <c r="H272" s="5"/>
      <c r="I272" s="6"/>
      <c r="J272" s="41"/>
      <c r="K272" s="41"/>
      <c r="L272" s="41"/>
      <c r="M272" s="41"/>
      <c r="N272" s="41"/>
      <c r="O272" s="50"/>
      <c r="P272" s="50"/>
      <c r="Q272" s="50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0"/>
      <c r="AY272" s="1"/>
      <c r="AZ272" s="1"/>
      <c r="BA272" s="11"/>
      <c r="BB272" s="11"/>
    </row>
    <row r="273" spans="1:54" x14ac:dyDescent="0.15">
      <c r="A273" s="1"/>
      <c r="B273" s="1"/>
      <c r="C273" s="2"/>
      <c r="D273" s="1"/>
      <c r="E273" s="1"/>
      <c r="F273" s="3"/>
      <c r="G273" s="4"/>
      <c r="H273" s="5"/>
      <c r="I273" s="6"/>
      <c r="J273" s="41"/>
      <c r="K273" s="41"/>
      <c r="L273" s="41"/>
      <c r="M273" s="41"/>
      <c r="N273" s="41"/>
      <c r="O273" s="50"/>
      <c r="P273" s="50"/>
      <c r="Q273" s="50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0"/>
      <c r="AY273" s="1"/>
      <c r="AZ273" s="1"/>
      <c r="BA273" s="11"/>
      <c r="BB273" s="11"/>
    </row>
    <row r="274" spans="1:54" x14ac:dyDescent="0.15">
      <c r="A274" s="1"/>
      <c r="B274" s="1"/>
      <c r="C274" s="2"/>
      <c r="D274" s="1"/>
      <c r="E274" s="1"/>
      <c r="F274" s="3"/>
      <c r="G274" s="4"/>
      <c r="H274" s="5"/>
      <c r="I274" s="6"/>
      <c r="J274" s="41"/>
      <c r="K274" s="41"/>
      <c r="L274" s="41"/>
      <c r="M274" s="41"/>
      <c r="N274" s="41"/>
      <c r="O274" s="50"/>
      <c r="P274" s="50"/>
      <c r="Q274" s="50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0"/>
      <c r="AY274" s="1"/>
      <c r="AZ274" s="1"/>
      <c r="BA274" s="11"/>
      <c r="BB274" s="11"/>
    </row>
    <row r="275" spans="1:54" x14ac:dyDescent="0.15">
      <c r="A275" s="1"/>
      <c r="B275" s="1"/>
      <c r="C275" s="2"/>
      <c r="D275" s="1"/>
      <c r="E275" s="1"/>
      <c r="F275" s="3"/>
      <c r="G275" s="4"/>
      <c r="H275" s="5"/>
      <c r="I275" s="6"/>
      <c r="J275" s="41"/>
      <c r="K275" s="41"/>
      <c r="L275" s="41"/>
      <c r="M275" s="41"/>
      <c r="N275" s="41"/>
      <c r="O275" s="50"/>
      <c r="P275" s="50"/>
      <c r="Q275" s="50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0"/>
      <c r="AY275" s="1"/>
      <c r="AZ275" s="1"/>
      <c r="BA275" s="11"/>
      <c r="BB275" s="11"/>
    </row>
    <row r="276" spans="1:54" x14ac:dyDescent="0.15">
      <c r="A276" s="1"/>
      <c r="B276" s="1"/>
      <c r="C276" s="2"/>
      <c r="D276" s="1"/>
      <c r="E276" s="1"/>
      <c r="F276" s="3"/>
      <c r="G276" s="4"/>
      <c r="H276" s="5"/>
      <c r="I276" s="6"/>
      <c r="J276" s="41"/>
      <c r="K276" s="41"/>
      <c r="L276" s="41"/>
      <c r="M276" s="41"/>
      <c r="N276" s="41"/>
      <c r="O276" s="50"/>
      <c r="P276" s="50"/>
      <c r="Q276" s="50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0"/>
      <c r="AY276" s="1"/>
      <c r="AZ276" s="1"/>
      <c r="BA276" s="11"/>
      <c r="BB276" s="11"/>
    </row>
    <row r="277" spans="1:54" x14ac:dyDescent="0.15">
      <c r="A277" s="1"/>
      <c r="B277" s="1"/>
      <c r="C277" s="2"/>
      <c r="D277" s="1"/>
      <c r="E277" s="1"/>
      <c r="F277" s="3"/>
      <c r="G277" s="4"/>
      <c r="H277" s="5"/>
      <c r="I277" s="6"/>
      <c r="J277" s="41"/>
      <c r="K277" s="41"/>
      <c r="L277" s="41"/>
      <c r="M277" s="41"/>
      <c r="N277" s="41"/>
      <c r="O277" s="50"/>
      <c r="P277" s="50"/>
      <c r="Q277" s="50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0"/>
      <c r="AY277" s="1"/>
      <c r="AZ277" s="1"/>
      <c r="BA277" s="11"/>
      <c r="BB277" s="11"/>
    </row>
    <row r="278" spans="1:54" x14ac:dyDescent="0.15">
      <c r="A278" s="1"/>
      <c r="B278" s="1"/>
      <c r="C278" s="2"/>
      <c r="D278" s="1"/>
      <c r="E278" s="1"/>
      <c r="F278" s="3"/>
      <c r="G278" s="4"/>
      <c r="H278" s="5"/>
      <c r="I278" s="6"/>
      <c r="J278" s="41"/>
      <c r="K278" s="41"/>
      <c r="L278" s="41"/>
      <c r="M278" s="41"/>
      <c r="N278" s="41"/>
      <c r="O278" s="50"/>
      <c r="P278" s="50"/>
      <c r="Q278" s="50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0"/>
      <c r="AY278" s="1"/>
      <c r="AZ278" s="1"/>
      <c r="BA278" s="11"/>
      <c r="BB278" s="11"/>
    </row>
    <row r="279" spans="1:54" x14ac:dyDescent="0.15">
      <c r="A279" s="1"/>
      <c r="B279" s="1"/>
      <c r="C279" s="2"/>
      <c r="D279" s="1"/>
      <c r="E279" s="1"/>
      <c r="F279" s="3"/>
      <c r="G279" s="4"/>
      <c r="H279" s="5"/>
      <c r="I279" s="6"/>
      <c r="J279" s="41"/>
      <c r="K279" s="41"/>
      <c r="L279" s="41"/>
      <c r="M279" s="41"/>
      <c r="N279" s="41"/>
      <c r="O279" s="50"/>
      <c r="P279" s="50"/>
      <c r="Q279" s="50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0"/>
      <c r="AY279" s="1"/>
      <c r="AZ279" s="1"/>
      <c r="BA279" s="11"/>
      <c r="BB279" s="11"/>
    </row>
    <row r="280" spans="1:54" x14ac:dyDescent="0.15">
      <c r="A280" s="1"/>
      <c r="B280" s="1"/>
      <c r="C280" s="2"/>
      <c r="D280" s="1"/>
      <c r="E280" s="1"/>
      <c r="F280" s="3"/>
      <c r="G280" s="4"/>
      <c r="H280" s="5"/>
      <c r="I280" s="6"/>
      <c r="J280" s="41"/>
      <c r="K280" s="41"/>
      <c r="L280" s="41"/>
      <c r="M280" s="41"/>
      <c r="N280" s="41"/>
      <c r="O280" s="50"/>
      <c r="P280" s="50"/>
      <c r="Q280" s="50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0"/>
      <c r="AY280" s="1"/>
      <c r="AZ280" s="1"/>
      <c r="BA280" s="11"/>
      <c r="BB280" s="11"/>
    </row>
    <row r="281" spans="1:54" x14ac:dyDescent="0.15">
      <c r="A281" s="1"/>
      <c r="B281" s="1"/>
      <c r="C281" s="2"/>
      <c r="D281" s="1"/>
      <c r="E281" s="1"/>
      <c r="F281" s="3"/>
      <c r="G281" s="4"/>
      <c r="H281" s="5"/>
      <c r="I281" s="6"/>
      <c r="J281" s="41"/>
      <c r="K281" s="41"/>
      <c r="L281" s="41"/>
      <c r="M281" s="41"/>
      <c r="N281" s="41"/>
      <c r="O281" s="50"/>
      <c r="P281" s="50"/>
      <c r="Q281" s="50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0"/>
      <c r="AY281" s="1"/>
      <c r="AZ281" s="1"/>
      <c r="BA281" s="11"/>
      <c r="BB281" s="11"/>
    </row>
    <row r="282" spans="1:54" x14ac:dyDescent="0.15">
      <c r="A282" s="1"/>
      <c r="B282" s="1"/>
      <c r="C282" s="2"/>
      <c r="D282" s="1"/>
      <c r="E282" s="1"/>
      <c r="F282" s="3"/>
      <c r="G282" s="4"/>
      <c r="H282" s="5"/>
      <c r="I282" s="6"/>
      <c r="J282" s="41"/>
      <c r="K282" s="41"/>
      <c r="L282" s="41"/>
      <c r="M282" s="41"/>
      <c r="N282" s="41"/>
      <c r="O282" s="50"/>
      <c r="P282" s="50"/>
      <c r="Q282" s="50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0"/>
      <c r="AY282" s="1"/>
      <c r="AZ282" s="1"/>
      <c r="BA282" s="11"/>
      <c r="BB282" s="11"/>
    </row>
    <row r="283" spans="1:54" x14ac:dyDescent="0.15">
      <c r="A283" s="1"/>
      <c r="B283" s="1"/>
      <c r="C283" s="2"/>
      <c r="D283" s="1"/>
      <c r="E283" s="1"/>
      <c r="F283" s="3"/>
      <c r="G283" s="4"/>
      <c r="H283" s="5"/>
      <c r="I283" s="6"/>
      <c r="J283" s="41"/>
      <c r="K283" s="41"/>
      <c r="L283" s="41"/>
      <c r="M283" s="41"/>
      <c r="N283" s="41"/>
      <c r="O283" s="50"/>
      <c r="P283" s="50"/>
      <c r="Q283" s="50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0"/>
      <c r="AY283" s="1"/>
      <c r="AZ283" s="1"/>
      <c r="BA283" s="11"/>
      <c r="BB283" s="11"/>
    </row>
    <row r="284" spans="1:54" x14ac:dyDescent="0.15">
      <c r="A284" s="1"/>
      <c r="B284" s="1"/>
      <c r="C284" s="2"/>
      <c r="D284" s="1"/>
      <c r="E284" s="1"/>
      <c r="F284" s="3"/>
      <c r="G284" s="4"/>
      <c r="H284" s="5"/>
      <c r="I284" s="6"/>
      <c r="J284" s="41"/>
      <c r="K284" s="41"/>
      <c r="L284" s="41"/>
      <c r="M284" s="41"/>
      <c r="N284" s="41"/>
      <c r="O284" s="50"/>
      <c r="P284" s="50"/>
      <c r="Q284" s="50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0"/>
      <c r="AY284" s="1"/>
      <c r="AZ284" s="1"/>
      <c r="BA284" s="11"/>
      <c r="BB284" s="11"/>
    </row>
    <row r="285" spans="1:54" x14ac:dyDescent="0.15">
      <c r="A285" s="1"/>
      <c r="B285" s="1"/>
      <c r="C285" s="2"/>
      <c r="D285" s="1"/>
      <c r="E285" s="1"/>
      <c r="F285" s="3"/>
      <c r="G285" s="4"/>
      <c r="H285" s="5"/>
      <c r="I285" s="6"/>
      <c r="J285" s="41"/>
      <c r="K285" s="41"/>
      <c r="L285" s="41"/>
      <c r="M285" s="41"/>
      <c r="N285" s="41"/>
      <c r="O285" s="50"/>
      <c r="P285" s="50"/>
      <c r="Q285" s="50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0"/>
      <c r="AY285" s="1"/>
      <c r="AZ285" s="1"/>
      <c r="BA285" s="11"/>
      <c r="BB285" s="11"/>
    </row>
    <row r="286" spans="1:54" x14ac:dyDescent="0.15">
      <c r="A286" s="1"/>
      <c r="B286" s="1"/>
      <c r="C286" s="2"/>
      <c r="D286" s="1"/>
      <c r="E286" s="1"/>
      <c r="F286" s="3"/>
      <c r="G286" s="4"/>
      <c r="H286" s="5"/>
      <c r="I286" s="6"/>
      <c r="J286" s="41"/>
      <c r="K286" s="41"/>
      <c r="L286" s="41"/>
      <c r="M286" s="41"/>
      <c r="N286" s="41"/>
      <c r="O286" s="50"/>
      <c r="P286" s="50"/>
      <c r="Q286" s="50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0"/>
      <c r="AY286" s="1"/>
      <c r="AZ286" s="1"/>
      <c r="BA286" s="11"/>
      <c r="BB286" s="11"/>
    </row>
    <row r="287" spans="1:54" x14ac:dyDescent="0.15">
      <c r="A287" s="1"/>
      <c r="B287" s="1"/>
      <c r="C287" s="2"/>
      <c r="D287" s="1"/>
      <c r="E287" s="1"/>
      <c r="F287" s="3"/>
      <c r="G287" s="4"/>
      <c r="H287" s="5"/>
      <c r="I287" s="6"/>
      <c r="J287" s="41"/>
      <c r="K287" s="41"/>
      <c r="L287" s="41"/>
      <c r="M287" s="41"/>
      <c r="N287" s="41"/>
      <c r="O287" s="50"/>
      <c r="P287" s="50"/>
      <c r="Q287" s="50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0"/>
      <c r="AY287" s="1"/>
      <c r="AZ287" s="1"/>
      <c r="BA287" s="11"/>
      <c r="BB287" s="11"/>
    </row>
    <row r="288" spans="1:54" x14ac:dyDescent="0.15">
      <c r="A288" s="1"/>
      <c r="B288" s="1"/>
      <c r="C288" s="2"/>
      <c r="D288" s="1"/>
      <c r="E288" s="1"/>
      <c r="F288" s="3"/>
      <c r="G288" s="4"/>
      <c r="H288" s="5"/>
      <c r="I288" s="6"/>
      <c r="J288" s="41"/>
      <c r="K288" s="41"/>
      <c r="L288" s="41"/>
      <c r="M288" s="41"/>
      <c r="N288" s="41"/>
      <c r="O288" s="50"/>
      <c r="P288" s="50"/>
      <c r="Q288" s="50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0"/>
      <c r="AY288" s="1"/>
      <c r="AZ288" s="1"/>
      <c r="BA288" s="11"/>
      <c r="BB288" s="11"/>
    </row>
    <row r="289" spans="1:54" x14ac:dyDescent="0.15">
      <c r="A289" s="1"/>
      <c r="B289" s="1"/>
      <c r="C289" s="2"/>
      <c r="D289" s="1"/>
      <c r="E289" s="1"/>
      <c r="F289" s="3"/>
      <c r="G289" s="4"/>
      <c r="H289" s="5"/>
      <c r="I289" s="6"/>
      <c r="J289" s="41"/>
      <c r="K289" s="41"/>
      <c r="L289" s="41"/>
      <c r="M289" s="41"/>
      <c r="N289" s="41"/>
      <c r="O289" s="50"/>
      <c r="P289" s="50"/>
      <c r="Q289" s="50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0"/>
      <c r="AY289" s="1"/>
      <c r="AZ289" s="1"/>
      <c r="BA289" s="11"/>
      <c r="BB289" s="11"/>
    </row>
    <row r="290" spans="1:54" x14ac:dyDescent="0.15">
      <c r="A290" s="1"/>
      <c r="B290" s="1"/>
      <c r="C290" s="2"/>
      <c r="D290" s="1"/>
      <c r="E290" s="1"/>
      <c r="F290" s="3"/>
      <c r="G290" s="4"/>
      <c r="H290" s="5"/>
      <c r="I290" s="6"/>
      <c r="J290" s="41"/>
      <c r="K290" s="41"/>
      <c r="L290" s="41"/>
      <c r="M290" s="41"/>
      <c r="N290" s="41"/>
      <c r="O290" s="50"/>
      <c r="P290" s="50"/>
      <c r="Q290" s="50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0"/>
      <c r="AY290" s="1"/>
      <c r="AZ290" s="1"/>
      <c r="BA290" s="11"/>
      <c r="BB290" s="11"/>
    </row>
    <row r="291" spans="1:54" x14ac:dyDescent="0.15">
      <c r="A291" s="1"/>
      <c r="B291" s="1"/>
      <c r="C291" s="2"/>
      <c r="D291" s="1"/>
      <c r="E291" s="1"/>
      <c r="F291" s="3"/>
      <c r="G291" s="4"/>
      <c r="H291" s="5"/>
      <c r="I291" s="6"/>
      <c r="J291" s="41"/>
      <c r="K291" s="41"/>
      <c r="L291" s="41"/>
      <c r="M291" s="41"/>
      <c r="N291" s="41"/>
      <c r="O291" s="50"/>
      <c r="P291" s="50"/>
      <c r="Q291" s="50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0"/>
      <c r="AY291" s="1"/>
      <c r="AZ291" s="1"/>
      <c r="BA291" s="11"/>
      <c r="BB291" s="11"/>
    </row>
    <row r="292" spans="1:54" x14ac:dyDescent="0.15">
      <c r="A292" s="1"/>
      <c r="B292" s="1"/>
      <c r="C292" s="2"/>
      <c r="D292" s="1"/>
      <c r="E292" s="1"/>
      <c r="F292" s="3"/>
      <c r="G292" s="4"/>
      <c r="H292" s="5"/>
      <c r="I292" s="6"/>
      <c r="J292" s="41"/>
      <c r="K292" s="41"/>
      <c r="L292" s="41"/>
      <c r="M292" s="41"/>
      <c r="N292" s="41"/>
      <c r="O292" s="50"/>
      <c r="P292" s="50"/>
      <c r="Q292" s="50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0"/>
      <c r="AY292" s="1"/>
      <c r="AZ292" s="1"/>
      <c r="BA292" s="11"/>
      <c r="BB292" s="11"/>
    </row>
    <row r="293" spans="1:54" x14ac:dyDescent="0.15">
      <c r="A293" s="1"/>
      <c r="B293" s="1"/>
      <c r="C293" s="2"/>
      <c r="D293" s="1"/>
      <c r="E293" s="1"/>
      <c r="F293" s="3"/>
      <c r="G293" s="4"/>
      <c r="H293" s="5"/>
      <c r="I293" s="6"/>
      <c r="J293" s="41"/>
      <c r="K293" s="41"/>
      <c r="L293" s="41"/>
      <c r="M293" s="41"/>
      <c r="N293" s="41"/>
      <c r="O293" s="50"/>
      <c r="P293" s="50"/>
      <c r="Q293" s="50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0"/>
      <c r="AY293" s="1"/>
      <c r="AZ293" s="1"/>
      <c r="BA293" s="11"/>
      <c r="BB293" s="11"/>
    </row>
    <row r="294" spans="1:54" x14ac:dyDescent="0.15">
      <c r="A294" s="1"/>
      <c r="B294" s="1"/>
      <c r="C294" s="2"/>
      <c r="D294" s="1"/>
      <c r="E294" s="1"/>
      <c r="F294" s="3"/>
      <c r="G294" s="4"/>
      <c r="H294" s="5"/>
      <c r="I294" s="6"/>
      <c r="J294" s="41"/>
      <c r="K294" s="41"/>
      <c r="L294" s="41"/>
      <c r="M294" s="41"/>
      <c r="N294" s="41"/>
      <c r="O294" s="50"/>
      <c r="P294" s="50"/>
      <c r="Q294" s="50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0"/>
      <c r="AY294" s="1"/>
      <c r="AZ294" s="1"/>
      <c r="BA294" s="11"/>
      <c r="BB294" s="11"/>
    </row>
    <row r="295" spans="1:54" x14ac:dyDescent="0.15">
      <c r="A295" s="1"/>
      <c r="B295" s="1"/>
      <c r="C295" s="2"/>
      <c r="D295" s="1"/>
      <c r="E295" s="1"/>
      <c r="F295" s="3"/>
      <c r="G295" s="4"/>
      <c r="H295" s="5"/>
      <c r="I295" s="6"/>
      <c r="J295" s="41"/>
      <c r="K295" s="41"/>
      <c r="L295" s="41"/>
      <c r="M295" s="41"/>
      <c r="N295" s="41"/>
      <c r="O295" s="50"/>
      <c r="P295" s="50"/>
      <c r="Q295" s="50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0"/>
      <c r="AY295" s="1"/>
      <c r="AZ295" s="1"/>
      <c r="BA295" s="11"/>
      <c r="BB295" s="11"/>
    </row>
    <row r="296" spans="1:54" x14ac:dyDescent="0.15">
      <c r="A296" s="1"/>
      <c r="B296" s="1"/>
      <c r="C296" s="2"/>
      <c r="D296" s="1"/>
      <c r="E296" s="1"/>
      <c r="F296" s="3"/>
      <c r="G296" s="4"/>
      <c r="H296" s="5"/>
      <c r="I296" s="6"/>
      <c r="J296" s="41"/>
      <c r="K296" s="41"/>
      <c r="L296" s="41"/>
      <c r="M296" s="41"/>
      <c r="N296" s="41"/>
      <c r="O296" s="50"/>
      <c r="P296" s="50"/>
      <c r="Q296" s="50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0"/>
      <c r="AY296" s="1"/>
      <c r="AZ296" s="1"/>
      <c r="BA296" s="11"/>
      <c r="BB296" s="11"/>
    </row>
    <row r="297" spans="1:54" x14ac:dyDescent="0.15">
      <c r="A297" s="1"/>
      <c r="B297" s="1"/>
      <c r="C297" s="2"/>
      <c r="D297" s="1"/>
      <c r="E297" s="1"/>
      <c r="F297" s="3"/>
      <c r="G297" s="4"/>
      <c r="H297" s="5"/>
      <c r="I297" s="6"/>
      <c r="J297" s="41"/>
      <c r="K297" s="41"/>
      <c r="L297" s="41"/>
      <c r="M297" s="41"/>
      <c r="N297" s="41"/>
      <c r="O297" s="50"/>
      <c r="P297" s="50"/>
      <c r="Q297" s="50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0"/>
      <c r="AY297" s="1"/>
      <c r="AZ297" s="1"/>
      <c r="BA297" s="11"/>
      <c r="BB297" s="11"/>
    </row>
    <row r="298" spans="1:54" x14ac:dyDescent="0.15">
      <c r="A298" s="1"/>
      <c r="B298" s="1"/>
      <c r="C298" s="2"/>
      <c r="D298" s="1"/>
      <c r="E298" s="1"/>
      <c r="F298" s="3"/>
      <c r="G298" s="4"/>
      <c r="H298" s="5"/>
      <c r="I298" s="6"/>
      <c r="J298" s="41"/>
      <c r="K298" s="41"/>
      <c r="L298" s="41"/>
      <c r="M298" s="41"/>
      <c r="N298" s="41"/>
      <c r="O298" s="50"/>
      <c r="P298" s="50"/>
      <c r="Q298" s="50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0"/>
      <c r="AY298" s="1"/>
      <c r="AZ298" s="1"/>
      <c r="BA298" s="11"/>
      <c r="BB298" s="11"/>
    </row>
    <row r="299" spans="1:54" x14ac:dyDescent="0.15">
      <c r="A299" s="1"/>
      <c r="B299" s="1"/>
      <c r="C299" s="2"/>
      <c r="D299" s="1"/>
      <c r="E299" s="1"/>
      <c r="F299" s="3"/>
      <c r="G299" s="4"/>
      <c r="H299" s="5"/>
      <c r="I299" s="6"/>
      <c r="J299" s="41"/>
      <c r="K299" s="41"/>
      <c r="L299" s="41"/>
      <c r="M299" s="41"/>
      <c r="N299" s="41"/>
      <c r="O299" s="50"/>
      <c r="P299" s="50"/>
      <c r="Q299" s="50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0"/>
      <c r="AY299" s="1"/>
      <c r="AZ299" s="1"/>
      <c r="BA299" s="11"/>
      <c r="BB299" s="11"/>
    </row>
    <row r="300" spans="1:54" x14ac:dyDescent="0.15">
      <c r="A300" s="1"/>
      <c r="B300" s="1"/>
      <c r="C300" s="2"/>
      <c r="D300" s="1"/>
      <c r="E300" s="1"/>
      <c r="F300" s="3"/>
      <c r="G300" s="4"/>
      <c r="H300" s="5"/>
      <c r="I300" s="6"/>
      <c r="J300" s="41"/>
      <c r="K300" s="41"/>
      <c r="L300" s="41"/>
      <c r="M300" s="41"/>
      <c r="N300" s="41"/>
      <c r="O300" s="50"/>
      <c r="P300" s="50"/>
      <c r="Q300" s="50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0"/>
      <c r="AY300" s="1"/>
      <c r="AZ300" s="1"/>
      <c r="BA300" s="11"/>
      <c r="BB300" s="11"/>
    </row>
    <row r="301" spans="1:54" x14ac:dyDescent="0.15">
      <c r="A301" s="1"/>
      <c r="B301" s="1"/>
      <c r="C301" s="2"/>
      <c r="D301" s="1"/>
      <c r="E301" s="1"/>
      <c r="F301" s="3"/>
      <c r="G301" s="4"/>
      <c r="H301" s="5"/>
      <c r="I301" s="6"/>
      <c r="J301" s="41"/>
      <c r="K301" s="41"/>
      <c r="L301" s="41"/>
      <c r="M301" s="41"/>
      <c r="N301" s="41"/>
      <c r="O301" s="50"/>
      <c r="P301" s="50"/>
      <c r="Q301" s="50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0"/>
      <c r="AY301" s="1"/>
      <c r="AZ301" s="1"/>
      <c r="BA301" s="11"/>
      <c r="BB301" s="11"/>
    </row>
    <row r="302" spans="1:54" x14ac:dyDescent="0.15">
      <c r="A302" s="1"/>
      <c r="B302" s="1"/>
      <c r="C302" s="2"/>
      <c r="D302" s="1"/>
      <c r="E302" s="1"/>
      <c r="F302" s="3"/>
      <c r="G302" s="4"/>
      <c r="H302" s="5"/>
      <c r="I302" s="6"/>
      <c r="J302" s="41"/>
      <c r="K302" s="41"/>
      <c r="L302" s="41"/>
      <c r="M302" s="41"/>
      <c r="N302" s="41"/>
      <c r="O302" s="50"/>
      <c r="P302" s="50"/>
      <c r="Q302" s="50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0"/>
      <c r="AY302" s="1"/>
      <c r="AZ302" s="1"/>
      <c r="BA302" s="11"/>
      <c r="BB302" s="11"/>
    </row>
    <row r="303" spans="1:54" x14ac:dyDescent="0.15">
      <c r="A303" s="1"/>
      <c r="B303" s="1"/>
      <c r="C303" s="2"/>
      <c r="D303" s="1"/>
      <c r="E303" s="1"/>
      <c r="F303" s="3"/>
      <c r="G303" s="4"/>
      <c r="H303" s="5"/>
      <c r="I303" s="6"/>
      <c r="J303" s="41"/>
      <c r="K303" s="41"/>
      <c r="L303" s="41"/>
      <c r="M303" s="41"/>
      <c r="N303" s="41"/>
      <c r="O303" s="50"/>
      <c r="P303" s="50"/>
      <c r="Q303" s="50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0"/>
      <c r="AY303" s="1"/>
      <c r="AZ303" s="1"/>
      <c r="BA303" s="11"/>
      <c r="BB303" s="11"/>
    </row>
    <row r="304" spans="1:54" x14ac:dyDescent="0.15">
      <c r="A304" s="1"/>
      <c r="B304" s="1"/>
      <c r="C304" s="2"/>
      <c r="D304" s="1"/>
      <c r="E304" s="1"/>
      <c r="F304" s="3"/>
      <c r="G304" s="4"/>
      <c r="H304" s="5"/>
      <c r="I304" s="6"/>
      <c r="J304" s="41"/>
      <c r="K304" s="41"/>
      <c r="L304" s="41"/>
      <c r="M304" s="41"/>
      <c r="N304" s="41"/>
      <c r="O304" s="50"/>
      <c r="P304" s="50"/>
      <c r="Q304" s="50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0"/>
      <c r="AY304" s="1"/>
      <c r="AZ304" s="1"/>
      <c r="BA304" s="11"/>
      <c r="BB304" s="11"/>
    </row>
    <row r="305" spans="1:54" x14ac:dyDescent="0.15">
      <c r="A305" s="1"/>
      <c r="B305" s="1"/>
      <c r="C305" s="2"/>
      <c r="D305" s="1"/>
      <c r="E305" s="1"/>
      <c r="F305" s="3"/>
      <c r="G305" s="4"/>
      <c r="H305" s="5"/>
      <c r="I305" s="6"/>
      <c r="J305" s="41"/>
      <c r="K305" s="41"/>
      <c r="L305" s="41"/>
      <c r="M305" s="41"/>
      <c r="N305" s="41"/>
      <c r="O305" s="50"/>
      <c r="P305" s="50"/>
      <c r="Q305" s="50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0"/>
      <c r="AY305" s="1"/>
      <c r="AZ305" s="1"/>
      <c r="BA305" s="11"/>
      <c r="BB305" s="11"/>
    </row>
    <row r="306" spans="1:54" x14ac:dyDescent="0.15">
      <c r="A306" s="1"/>
      <c r="B306" s="1"/>
      <c r="C306" s="2"/>
      <c r="D306" s="1"/>
      <c r="E306" s="1"/>
      <c r="F306" s="3"/>
      <c r="G306" s="4"/>
      <c r="H306" s="5"/>
      <c r="I306" s="6"/>
      <c r="J306" s="41"/>
      <c r="K306" s="41"/>
      <c r="L306" s="41"/>
      <c r="M306" s="41"/>
      <c r="N306" s="41"/>
      <c r="O306" s="50"/>
      <c r="P306" s="50"/>
      <c r="Q306" s="50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0"/>
      <c r="AY306" s="1"/>
      <c r="AZ306" s="1"/>
      <c r="BA306" s="11"/>
      <c r="BB306" s="11"/>
    </row>
    <row r="307" spans="1:54" x14ac:dyDescent="0.15">
      <c r="A307" s="1"/>
      <c r="B307" s="1"/>
      <c r="C307" s="2"/>
      <c r="D307" s="1"/>
      <c r="E307" s="1"/>
      <c r="F307" s="3"/>
      <c r="G307" s="4"/>
      <c r="H307" s="5"/>
      <c r="I307" s="6"/>
      <c r="J307" s="41"/>
      <c r="K307" s="41"/>
      <c r="L307" s="41"/>
      <c r="M307" s="41"/>
      <c r="N307" s="41"/>
      <c r="O307" s="50"/>
      <c r="P307" s="50"/>
      <c r="Q307" s="50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0"/>
      <c r="AY307" s="1"/>
      <c r="AZ307" s="1"/>
      <c r="BA307" s="11"/>
      <c r="BB307" s="11"/>
    </row>
    <row r="308" spans="1:54" x14ac:dyDescent="0.15">
      <c r="A308" s="1"/>
      <c r="B308" s="1"/>
      <c r="C308" s="2"/>
      <c r="D308" s="1"/>
      <c r="E308" s="1"/>
      <c r="F308" s="3"/>
      <c r="G308" s="4"/>
      <c r="H308" s="5"/>
      <c r="I308" s="6"/>
      <c r="J308" s="41"/>
      <c r="K308" s="41"/>
      <c r="L308" s="41"/>
      <c r="M308" s="41"/>
      <c r="N308" s="41"/>
      <c r="O308" s="50"/>
      <c r="P308" s="50"/>
      <c r="Q308" s="50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0"/>
      <c r="AY308" s="1"/>
      <c r="AZ308" s="1"/>
      <c r="BA308" s="11"/>
      <c r="BB308" s="11"/>
    </row>
    <row r="309" spans="1:54" x14ac:dyDescent="0.15">
      <c r="A309" s="1"/>
      <c r="B309" s="1"/>
      <c r="C309" s="2"/>
      <c r="D309" s="1"/>
      <c r="E309" s="1"/>
      <c r="F309" s="3"/>
      <c r="G309" s="4"/>
      <c r="H309" s="5"/>
      <c r="I309" s="6"/>
      <c r="J309" s="41"/>
      <c r="K309" s="41"/>
      <c r="L309" s="41"/>
      <c r="M309" s="41"/>
      <c r="N309" s="41"/>
      <c r="O309" s="50"/>
      <c r="P309" s="50"/>
      <c r="Q309" s="50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0"/>
      <c r="AY309" s="1"/>
      <c r="AZ309" s="1"/>
      <c r="BA309" s="11"/>
      <c r="BB309" s="11"/>
    </row>
    <row r="310" spans="1:54" x14ac:dyDescent="0.15">
      <c r="A310" s="1"/>
      <c r="B310" s="1"/>
      <c r="C310" s="2"/>
      <c r="D310" s="1"/>
      <c r="E310" s="1"/>
      <c r="F310" s="3"/>
      <c r="G310" s="4"/>
      <c r="H310" s="5"/>
      <c r="I310" s="6"/>
      <c r="J310" s="41"/>
      <c r="K310" s="41"/>
      <c r="L310" s="41"/>
      <c r="M310" s="41"/>
      <c r="N310" s="41"/>
      <c r="O310" s="50"/>
      <c r="P310" s="50"/>
      <c r="Q310" s="50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0"/>
      <c r="AY310" s="1"/>
      <c r="AZ310" s="1"/>
      <c r="BA310" s="11"/>
      <c r="BB310" s="11"/>
    </row>
    <row r="311" spans="1:54" x14ac:dyDescent="0.15">
      <c r="A311" s="1"/>
      <c r="B311" s="1"/>
      <c r="C311" s="2"/>
      <c r="D311" s="1"/>
      <c r="E311" s="1"/>
      <c r="F311" s="3"/>
      <c r="G311" s="4"/>
      <c r="H311" s="5"/>
      <c r="I311" s="6"/>
      <c r="J311" s="41"/>
      <c r="K311" s="41"/>
      <c r="L311" s="41"/>
      <c r="M311" s="41"/>
      <c r="N311" s="41"/>
      <c r="O311" s="50"/>
      <c r="P311" s="50"/>
      <c r="Q311" s="50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0"/>
      <c r="AY311" s="1"/>
      <c r="AZ311" s="1"/>
      <c r="BA311" s="11"/>
      <c r="BB311" s="11"/>
    </row>
    <row r="312" spans="1:54" x14ac:dyDescent="0.15">
      <c r="A312" s="1"/>
      <c r="B312" s="1"/>
      <c r="C312" s="2"/>
      <c r="D312" s="1"/>
      <c r="E312" s="1"/>
      <c r="F312" s="3"/>
      <c r="G312" s="4"/>
      <c r="H312" s="5"/>
      <c r="I312" s="6"/>
      <c r="J312" s="41"/>
      <c r="K312" s="41"/>
      <c r="L312" s="41"/>
      <c r="M312" s="41"/>
      <c r="N312" s="41"/>
      <c r="O312" s="50"/>
      <c r="P312" s="50"/>
      <c r="Q312" s="50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0"/>
      <c r="AY312" s="1"/>
      <c r="AZ312" s="1"/>
      <c r="BA312" s="11"/>
      <c r="BB312" s="11"/>
    </row>
    <row r="313" spans="1:54" x14ac:dyDescent="0.15">
      <c r="A313" s="1"/>
      <c r="B313" s="1"/>
      <c r="C313" s="2"/>
      <c r="D313" s="1"/>
      <c r="E313" s="1"/>
      <c r="F313" s="3"/>
      <c r="G313" s="4"/>
      <c r="H313" s="5"/>
      <c r="I313" s="6"/>
      <c r="J313" s="41"/>
      <c r="K313" s="41"/>
      <c r="L313" s="41"/>
      <c r="M313" s="41"/>
      <c r="N313" s="41"/>
      <c r="O313" s="50"/>
      <c r="P313" s="50"/>
      <c r="Q313" s="50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0"/>
      <c r="AY313" s="1"/>
      <c r="AZ313" s="1"/>
      <c r="BA313" s="11"/>
      <c r="BB313" s="11"/>
    </row>
    <row r="314" spans="1:54" x14ac:dyDescent="0.15">
      <c r="A314" s="1"/>
      <c r="B314" s="1"/>
      <c r="C314" s="2"/>
      <c r="D314" s="1"/>
      <c r="E314" s="1"/>
      <c r="F314" s="3"/>
      <c r="G314" s="4"/>
      <c r="H314" s="5"/>
      <c r="I314" s="6"/>
      <c r="J314" s="41"/>
      <c r="K314" s="41"/>
      <c r="L314" s="41"/>
      <c r="M314" s="41"/>
      <c r="N314" s="41"/>
      <c r="O314" s="50"/>
      <c r="P314" s="50"/>
      <c r="Q314" s="50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0"/>
      <c r="AY314" s="1"/>
      <c r="AZ314" s="1"/>
      <c r="BA314" s="11"/>
      <c r="BB314" s="11"/>
    </row>
    <row r="315" spans="1:54" x14ac:dyDescent="0.15">
      <c r="A315" s="1"/>
      <c r="B315" s="1"/>
      <c r="C315" s="2"/>
      <c r="D315" s="1"/>
      <c r="E315" s="1"/>
      <c r="F315" s="3"/>
      <c r="G315" s="4"/>
      <c r="H315" s="5"/>
      <c r="I315" s="6"/>
      <c r="J315" s="41"/>
      <c r="K315" s="41"/>
      <c r="L315" s="41"/>
      <c r="M315" s="41"/>
      <c r="N315" s="41"/>
      <c r="O315" s="50"/>
      <c r="P315" s="50"/>
      <c r="Q315" s="50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0"/>
      <c r="AY315" s="1"/>
      <c r="AZ315" s="1"/>
      <c r="BA315" s="11"/>
      <c r="BB315" s="11"/>
    </row>
    <row r="316" spans="1:54" x14ac:dyDescent="0.15">
      <c r="A316" s="1"/>
      <c r="B316" s="1"/>
      <c r="C316" s="2"/>
      <c r="D316" s="1"/>
      <c r="E316" s="1"/>
      <c r="F316" s="3"/>
      <c r="G316" s="4"/>
      <c r="H316" s="5"/>
      <c r="I316" s="6"/>
      <c r="J316" s="41"/>
      <c r="K316" s="41"/>
      <c r="L316" s="41"/>
      <c r="M316" s="41"/>
      <c r="N316" s="41"/>
      <c r="O316" s="50"/>
      <c r="P316" s="50"/>
      <c r="Q316" s="50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0"/>
      <c r="AY316" s="1"/>
      <c r="AZ316" s="1"/>
      <c r="BA316" s="11"/>
      <c r="BB316" s="11"/>
    </row>
    <row r="317" spans="1:54" x14ac:dyDescent="0.15">
      <c r="A317" s="1"/>
      <c r="B317" s="1"/>
      <c r="C317" s="2"/>
      <c r="D317" s="1"/>
      <c r="E317" s="1"/>
      <c r="F317" s="3"/>
      <c r="G317" s="4"/>
      <c r="H317" s="5"/>
      <c r="I317" s="6"/>
      <c r="J317" s="41"/>
      <c r="K317" s="41"/>
      <c r="L317" s="41"/>
      <c r="M317" s="41"/>
      <c r="N317" s="41"/>
      <c r="O317" s="50"/>
      <c r="P317" s="50"/>
      <c r="Q317" s="50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0"/>
      <c r="AY317" s="1"/>
      <c r="AZ317" s="1"/>
      <c r="BA317" s="11"/>
      <c r="BB317" s="11"/>
    </row>
    <row r="318" spans="1:54" x14ac:dyDescent="0.15">
      <c r="A318" s="1"/>
      <c r="B318" s="1"/>
      <c r="C318" s="2"/>
      <c r="D318" s="1"/>
      <c r="E318" s="1"/>
      <c r="F318" s="3"/>
      <c r="G318" s="4"/>
      <c r="H318" s="5"/>
      <c r="I318" s="6"/>
      <c r="J318" s="41"/>
      <c r="K318" s="41"/>
      <c r="L318" s="41"/>
      <c r="M318" s="41"/>
      <c r="N318" s="41"/>
      <c r="O318" s="50"/>
      <c r="P318" s="50"/>
      <c r="Q318" s="50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0"/>
      <c r="AY318" s="1"/>
      <c r="AZ318" s="1"/>
      <c r="BA318" s="11"/>
      <c r="BB318" s="11"/>
    </row>
    <row r="319" spans="1:54" x14ac:dyDescent="0.15">
      <c r="A319" s="1"/>
      <c r="B319" s="1"/>
      <c r="C319" s="2"/>
      <c r="D319" s="1"/>
      <c r="E319" s="1"/>
      <c r="F319" s="3"/>
      <c r="G319" s="4"/>
      <c r="H319" s="5"/>
      <c r="I319" s="6"/>
      <c r="J319" s="41"/>
      <c r="K319" s="41"/>
      <c r="L319" s="41"/>
      <c r="M319" s="41"/>
      <c r="N319" s="41"/>
      <c r="O319" s="50"/>
      <c r="P319" s="50"/>
      <c r="Q319" s="50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0"/>
      <c r="AY319" s="1"/>
      <c r="AZ319" s="1"/>
      <c r="BA319" s="11"/>
      <c r="BB319" s="11"/>
    </row>
    <row r="320" spans="1:54" x14ac:dyDescent="0.15">
      <c r="A320" s="1"/>
      <c r="B320" s="1"/>
      <c r="C320" s="2"/>
      <c r="D320" s="1"/>
      <c r="E320" s="1"/>
      <c r="F320" s="3"/>
      <c r="G320" s="4"/>
      <c r="H320" s="5"/>
      <c r="I320" s="6"/>
      <c r="J320" s="41"/>
      <c r="K320" s="41"/>
      <c r="L320" s="41"/>
      <c r="M320" s="41"/>
      <c r="N320" s="41"/>
      <c r="O320" s="50"/>
      <c r="P320" s="50"/>
      <c r="Q320" s="50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0"/>
      <c r="AY320" s="1"/>
      <c r="AZ320" s="1"/>
      <c r="BA320" s="11"/>
      <c r="BB320" s="11"/>
    </row>
    <row r="321" spans="1:54" x14ac:dyDescent="0.15">
      <c r="A321" s="1"/>
      <c r="B321" s="1"/>
      <c r="C321" s="2"/>
      <c r="D321" s="1"/>
      <c r="E321" s="1"/>
      <c r="F321" s="3"/>
      <c r="G321" s="4"/>
      <c r="H321" s="5"/>
      <c r="I321" s="6"/>
      <c r="J321" s="41"/>
      <c r="K321" s="41"/>
      <c r="L321" s="41"/>
      <c r="M321" s="41"/>
      <c r="N321" s="41"/>
      <c r="O321" s="50"/>
      <c r="P321" s="50"/>
      <c r="Q321" s="50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0"/>
      <c r="AY321" s="1"/>
      <c r="AZ321" s="1"/>
      <c r="BA321" s="11"/>
      <c r="BB321" s="11"/>
    </row>
    <row r="322" spans="1:54" x14ac:dyDescent="0.15">
      <c r="A322" s="1"/>
      <c r="B322" s="1"/>
      <c r="C322" s="2"/>
      <c r="D322" s="1"/>
      <c r="E322" s="1"/>
      <c r="F322" s="3"/>
      <c r="G322" s="4"/>
      <c r="H322" s="5"/>
      <c r="I322" s="6"/>
      <c r="J322" s="41"/>
      <c r="K322" s="41"/>
      <c r="L322" s="41"/>
      <c r="M322" s="41"/>
      <c r="N322" s="41"/>
      <c r="O322" s="50"/>
      <c r="P322" s="50"/>
      <c r="Q322" s="50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0"/>
      <c r="AY322" s="1"/>
      <c r="AZ322" s="1"/>
      <c r="BA322" s="11"/>
      <c r="BB322" s="11"/>
    </row>
    <row r="323" spans="1:54" x14ac:dyDescent="0.15">
      <c r="A323" s="1"/>
      <c r="B323" s="1"/>
      <c r="C323" s="2"/>
      <c r="D323" s="1"/>
      <c r="E323" s="1"/>
      <c r="F323" s="3"/>
      <c r="G323" s="4"/>
      <c r="H323" s="5"/>
      <c r="I323" s="6"/>
      <c r="J323" s="41"/>
      <c r="K323" s="41"/>
      <c r="L323" s="41"/>
      <c r="M323" s="41"/>
      <c r="N323" s="41"/>
      <c r="O323" s="50"/>
      <c r="P323" s="50"/>
      <c r="Q323" s="50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0"/>
      <c r="AY323" s="1"/>
      <c r="AZ323" s="1"/>
      <c r="BA323" s="11"/>
      <c r="BB323" s="11"/>
    </row>
    <row r="324" spans="1:54" x14ac:dyDescent="0.15">
      <c r="A324" s="1"/>
      <c r="B324" s="1"/>
      <c r="C324" s="2"/>
      <c r="D324" s="1"/>
      <c r="E324" s="1"/>
      <c r="F324" s="3"/>
      <c r="G324" s="4"/>
      <c r="H324" s="5"/>
      <c r="I324" s="6"/>
      <c r="J324" s="41"/>
      <c r="K324" s="41"/>
      <c r="L324" s="41"/>
      <c r="M324" s="41"/>
      <c r="N324" s="41"/>
      <c r="O324" s="50"/>
      <c r="P324" s="50"/>
      <c r="Q324" s="50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0"/>
      <c r="AY324" s="1"/>
      <c r="AZ324" s="1"/>
      <c r="BA324" s="11"/>
      <c r="BB324" s="11"/>
    </row>
    <row r="325" spans="1:54" x14ac:dyDescent="0.15">
      <c r="A325" s="1"/>
      <c r="B325" s="1"/>
      <c r="C325" s="2"/>
      <c r="D325" s="1"/>
      <c r="E325" s="1"/>
      <c r="F325" s="3"/>
      <c r="G325" s="4"/>
      <c r="H325" s="5"/>
      <c r="I325" s="6"/>
      <c r="J325" s="41"/>
      <c r="K325" s="41"/>
      <c r="L325" s="41"/>
      <c r="M325" s="41"/>
      <c r="N325" s="41"/>
      <c r="O325" s="50"/>
      <c r="P325" s="50"/>
      <c r="Q325" s="50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0"/>
      <c r="AY325" s="1"/>
      <c r="AZ325" s="1"/>
      <c r="BA325" s="11"/>
      <c r="BB325" s="11"/>
    </row>
    <row r="326" spans="1:54" x14ac:dyDescent="0.15">
      <c r="A326" s="1"/>
      <c r="B326" s="1"/>
      <c r="C326" s="2"/>
      <c r="D326" s="1"/>
      <c r="E326" s="1"/>
      <c r="F326" s="3"/>
      <c r="G326" s="4"/>
      <c r="H326" s="5"/>
      <c r="I326" s="6"/>
      <c r="J326" s="41"/>
      <c r="K326" s="41"/>
      <c r="L326" s="41"/>
      <c r="M326" s="41"/>
      <c r="N326" s="41"/>
      <c r="O326" s="50"/>
      <c r="P326" s="50"/>
      <c r="Q326" s="50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0"/>
      <c r="AY326" s="1"/>
      <c r="AZ326" s="1"/>
      <c r="BA326" s="11"/>
      <c r="BB326" s="11"/>
    </row>
    <row r="327" spans="1:54" x14ac:dyDescent="0.15">
      <c r="A327" s="1"/>
      <c r="B327" s="1"/>
      <c r="C327" s="2"/>
      <c r="D327" s="1"/>
      <c r="E327" s="1"/>
      <c r="F327" s="3"/>
      <c r="G327" s="4"/>
      <c r="H327" s="5"/>
      <c r="I327" s="6"/>
      <c r="J327" s="41"/>
      <c r="K327" s="41"/>
      <c r="L327" s="41"/>
      <c r="M327" s="41"/>
      <c r="N327" s="41"/>
      <c r="O327" s="50"/>
      <c r="P327" s="50"/>
      <c r="Q327" s="50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0"/>
      <c r="AY327" s="1"/>
      <c r="AZ327" s="1"/>
      <c r="BA327" s="11"/>
      <c r="BB327" s="11"/>
    </row>
    <row r="328" spans="1:54" x14ac:dyDescent="0.15">
      <c r="A328" s="1"/>
      <c r="B328" s="1"/>
      <c r="C328" s="2"/>
      <c r="D328" s="1"/>
      <c r="E328" s="1"/>
      <c r="F328" s="3"/>
      <c r="G328" s="4"/>
      <c r="H328" s="5"/>
      <c r="I328" s="6"/>
      <c r="J328" s="41"/>
      <c r="K328" s="41"/>
      <c r="L328" s="41"/>
      <c r="M328" s="41"/>
      <c r="N328" s="41"/>
      <c r="O328" s="50"/>
      <c r="P328" s="50"/>
      <c r="Q328" s="50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0"/>
      <c r="AY328" s="1"/>
      <c r="AZ328" s="1"/>
      <c r="BA328" s="11"/>
      <c r="BB328" s="11"/>
    </row>
    <row r="329" spans="1:54" x14ac:dyDescent="0.15">
      <c r="A329" s="1"/>
      <c r="B329" s="1"/>
      <c r="C329" s="2"/>
      <c r="D329" s="1"/>
      <c r="E329" s="1"/>
      <c r="F329" s="3"/>
      <c r="G329" s="4"/>
      <c r="H329" s="5"/>
      <c r="I329" s="6"/>
      <c r="J329" s="41"/>
      <c r="K329" s="41"/>
      <c r="L329" s="41"/>
      <c r="M329" s="41"/>
      <c r="N329" s="41"/>
      <c r="O329" s="50"/>
      <c r="P329" s="50"/>
      <c r="Q329" s="50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0"/>
      <c r="AY329" s="1"/>
      <c r="AZ329" s="1"/>
      <c r="BA329" s="11"/>
      <c r="BB329" s="11"/>
    </row>
    <row r="330" spans="1:54" x14ac:dyDescent="0.15">
      <c r="A330" s="1"/>
      <c r="B330" s="1"/>
      <c r="C330" s="2"/>
      <c r="D330" s="1"/>
      <c r="E330" s="1"/>
      <c r="F330" s="3"/>
      <c r="G330" s="4"/>
      <c r="H330" s="5"/>
      <c r="I330" s="6"/>
      <c r="J330" s="41"/>
      <c r="K330" s="41"/>
      <c r="L330" s="41"/>
      <c r="M330" s="41"/>
      <c r="N330" s="41"/>
      <c r="O330" s="50"/>
      <c r="P330" s="50"/>
      <c r="Q330" s="50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0"/>
      <c r="AY330" s="1"/>
      <c r="AZ330" s="1"/>
      <c r="BA330" s="11"/>
      <c r="BB330" s="11"/>
    </row>
    <row r="331" spans="1:54" x14ac:dyDescent="0.15">
      <c r="A331" s="1"/>
      <c r="B331" s="1"/>
      <c r="C331" s="2"/>
      <c r="D331" s="1"/>
      <c r="E331" s="1"/>
      <c r="F331" s="3"/>
      <c r="G331" s="4"/>
      <c r="H331" s="5"/>
      <c r="I331" s="6"/>
      <c r="J331" s="41"/>
      <c r="K331" s="41"/>
      <c r="L331" s="41"/>
      <c r="M331" s="41"/>
      <c r="N331" s="41"/>
      <c r="O331" s="50"/>
      <c r="P331" s="50"/>
      <c r="Q331" s="50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0"/>
      <c r="AY331" s="1"/>
      <c r="AZ331" s="1"/>
      <c r="BA331" s="11"/>
      <c r="BB331" s="11"/>
    </row>
    <row r="332" spans="1:54" x14ac:dyDescent="0.15">
      <c r="A332" s="1"/>
      <c r="B332" s="1"/>
      <c r="C332" s="2"/>
      <c r="D332" s="1"/>
      <c r="E332" s="1"/>
      <c r="F332" s="3"/>
      <c r="G332" s="4"/>
      <c r="H332" s="5"/>
      <c r="I332" s="6"/>
      <c r="J332" s="41"/>
      <c r="K332" s="41"/>
      <c r="L332" s="41"/>
      <c r="M332" s="41"/>
      <c r="N332" s="41"/>
      <c r="O332" s="50"/>
      <c r="P332" s="50"/>
      <c r="Q332" s="50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0"/>
      <c r="AY332" s="1"/>
      <c r="AZ332" s="1"/>
      <c r="BA332" s="11"/>
      <c r="BB332" s="11"/>
    </row>
    <row r="333" spans="1:54" x14ac:dyDescent="0.15">
      <c r="A333" s="1"/>
      <c r="B333" s="1"/>
      <c r="C333" s="2"/>
      <c r="D333" s="1"/>
      <c r="E333" s="1"/>
      <c r="F333" s="3"/>
      <c r="G333" s="4"/>
      <c r="H333" s="5"/>
      <c r="I333" s="6"/>
      <c r="J333" s="41"/>
      <c r="K333" s="41"/>
      <c r="L333" s="41"/>
      <c r="M333" s="41"/>
      <c r="N333" s="41"/>
      <c r="O333" s="50"/>
      <c r="P333" s="50"/>
      <c r="Q333" s="50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0"/>
      <c r="AY333" s="1"/>
      <c r="AZ333" s="1"/>
      <c r="BA333" s="11"/>
      <c r="BB333" s="11"/>
    </row>
    <row r="334" spans="1:54" x14ac:dyDescent="0.15">
      <c r="A334" s="1"/>
      <c r="B334" s="1"/>
      <c r="C334" s="2"/>
      <c r="D334" s="1"/>
      <c r="E334" s="1"/>
      <c r="F334" s="3"/>
      <c r="G334" s="4"/>
      <c r="H334" s="5"/>
      <c r="I334" s="6"/>
      <c r="J334" s="41"/>
      <c r="K334" s="41"/>
      <c r="L334" s="41"/>
      <c r="M334" s="41"/>
      <c r="N334" s="41"/>
      <c r="O334" s="50"/>
      <c r="P334" s="50"/>
      <c r="Q334" s="50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0"/>
      <c r="AY334" s="1"/>
      <c r="AZ334" s="1"/>
      <c r="BA334" s="11"/>
      <c r="BB334" s="11"/>
    </row>
    <row r="335" spans="1:54" x14ac:dyDescent="0.15">
      <c r="A335" s="1"/>
      <c r="B335" s="1"/>
      <c r="C335" s="2"/>
      <c r="D335" s="1"/>
      <c r="E335" s="1"/>
      <c r="F335" s="3"/>
      <c r="G335" s="4"/>
      <c r="H335" s="5"/>
      <c r="I335" s="6"/>
      <c r="J335" s="41"/>
      <c r="K335" s="41"/>
      <c r="L335" s="41"/>
      <c r="M335" s="41"/>
      <c r="N335" s="41"/>
      <c r="O335" s="50"/>
      <c r="P335" s="50"/>
      <c r="Q335" s="50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0"/>
      <c r="AY335" s="1"/>
      <c r="AZ335" s="1"/>
      <c r="BA335" s="11"/>
      <c r="BB335" s="11"/>
    </row>
    <row r="336" spans="1:54" x14ac:dyDescent="0.15">
      <c r="A336" s="1"/>
      <c r="B336" s="1"/>
      <c r="C336" s="2"/>
      <c r="D336" s="1"/>
      <c r="E336" s="1"/>
      <c r="F336" s="3"/>
      <c r="G336" s="4"/>
      <c r="H336" s="5"/>
      <c r="I336" s="6"/>
      <c r="J336" s="41"/>
      <c r="K336" s="41"/>
      <c r="L336" s="41"/>
      <c r="M336" s="41"/>
      <c r="N336" s="41"/>
      <c r="O336" s="50"/>
      <c r="P336" s="50"/>
      <c r="Q336" s="50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0"/>
      <c r="AY336" s="1"/>
      <c r="AZ336" s="1"/>
      <c r="BA336" s="11"/>
      <c r="BB336" s="11"/>
    </row>
    <row r="337" spans="1:54" x14ac:dyDescent="0.15">
      <c r="A337" s="1"/>
      <c r="B337" s="1"/>
      <c r="C337" s="2"/>
      <c r="D337" s="1"/>
      <c r="E337" s="1"/>
      <c r="F337" s="3"/>
      <c r="G337" s="4"/>
      <c r="H337" s="5"/>
      <c r="I337" s="6"/>
      <c r="J337" s="41"/>
      <c r="K337" s="41"/>
      <c r="L337" s="41"/>
      <c r="M337" s="41"/>
      <c r="N337" s="41"/>
      <c r="O337" s="50"/>
      <c r="P337" s="50"/>
      <c r="Q337" s="50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0"/>
      <c r="AY337" s="1"/>
      <c r="AZ337" s="1"/>
      <c r="BA337" s="11"/>
      <c r="BB337" s="11"/>
    </row>
    <row r="338" spans="1:54" x14ac:dyDescent="0.15">
      <c r="A338" s="1"/>
      <c r="B338" s="1"/>
      <c r="C338" s="2"/>
      <c r="D338" s="1"/>
      <c r="E338" s="1"/>
      <c r="F338" s="3"/>
      <c r="G338" s="4"/>
      <c r="H338" s="5"/>
      <c r="I338" s="6"/>
      <c r="J338" s="41"/>
      <c r="K338" s="41"/>
      <c r="L338" s="41"/>
      <c r="M338" s="41"/>
      <c r="N338" s="41"/>
      <c r="O338" s="50"/>
      <c r="P338" s="50"/>
      <c r="Q338" s="50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0"/>
      <c r="AY338" s="1"/>
      <c r="AZ338" s="1"/>
      <c r="BA338" s="11"/>
      <c r="BB338" s="11"/>
    </row>
    <row r="339" spans="1:54" x14ac:dyDescent="0.15">
      <c r="A339" s="1"/>
      <c r="B339" s="1"/>
      <c r="C339" s="2"/>
      <c r="D339" s="1"/>
      <c r="E339" s="1"/>
      <c r="F339" s="3"/>
      <c r="G339" s="4"/>
      <c r="H339" s="5"/>
      <c r="I339" s="6"/>
      <c r="J339" s="41"/>
      <c r="K339" s="41"/>
      <c r="L339" s="41"/>
      <c r="M339" s="41"/>
      <c r="N339" s="41"/>
      <c r="O339" s="50"/>
      <c r="P339" s="50"/>
      <c r="Q339" s="50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0"/>
      <c r="AY339" s="1"/>
      <c r="AZ339" s="1"/>
      <c r="BA339" s="11"/>
      <c r="BB339" s="11"/>
    </row>
    <row r="340" spans="1:54" x14ac:dyDescent="0.15">
      <c r="A340" s="1"/>
      <c r="B340" s="1"/>
      <c r="C340" s="2"/>
      <c r="D340" s="1"/>
      <c r="E340" s="1"/>
      <c r="F340" s="3"/>
      <c r="G340" s="4"/>
      <c r="H340" s="5"/>
      <c r="I340" s="6"/>
      <c r="J340" s="41"/>
      <c r="K340" s="41"/>
      <c r="L340" s="41"/>
      <c r="M340" s="41"/>
      <c r="N340" s="41"/>
      <c r="O340" s="50"/>
      <c r="P340" s="50"/>
      <c r="Q340" s="50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0"/>
      <c r="AY340" s="1"/>
      <c r="AZ340" s="1"/>
      <c r="BA340" s="11"/>
      <c r="BB340" s="11"/>
    </row>
    <row r="341" spans="1:54" x14ac:dyDescent="0.15">
      <c r="A341" s="1"/>
      <c r="B341" s="1"/>
      <c r="C341" s="2"/>
      <c r="D341" s="1"/>
      <c r="E341" s="1"/>
      <c r="F341" s="3"/>
      <c r="G341" s="4"/>
      <c r="H341" s="5"/>
      <c r="I341" s="6"/>
      <c r="J341" s="41"/>
      <c r="K341" s="41"/>
      <c r="L341" s="41"/>
      <c r="M341" s="41"/>
      <c r="N341" s="41"/>
      <c r="O341" s="50"/>
      <c r="P341" s="50"/>
      <c r="Q341" s="50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0"/>
      <c r="AY341" s="1"/>
      <c r="AZ341" s="1"/>
      <c r="BA341" s="11"/>
      <c r="BB341" s="11"/>
    </row>
    <row r="342" spans="1:54" x14ac:dyDescent="0.15">
      <c r="A342" s="1"/>
      <c r="B342" s="1"/>
      <c r="C342" s="2"/>
      <c r="D342" s="1"/>
      <c r="E342" s="1"/>
      <c r="F342" s="3"/>
      <c r="G342" s="4"/>
      <c r="H342" s="5"/>
      <c r="I342" s="6"/>
      <c r="J342" s="41"/>
      <c r="K342" s="41"/>
      <c r="L342" s="41"/>
      <c r="M342" s="41"/>
      <c r="N342" s="41"/>
      <c r="O342" s="50"/>
      <c r="P342" s="50"/>
      <c r="Q342" s="50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0"/>
      <c r="AY342" s="1"/>
      <c r="AZ342" s="1"/>
      <c r="BA342" s="11"/>
      <c r="BB342" s="11"/>
    </row>
    <row r="343" spans="1:54" x14ac:dyDescent="0.15">
      <c r="A343" s="1"/>
      <c r="B343" s="1"/>
      <c r="C343" s="2"/>
      <c r="D343" s="1"/>
      <c r="E343" s="1"/>
      <c r="F343" s="3"/>
      <c r="G343" s="4"/>
      <c r="H343" s="5"/>
      <c r="I343" s="6"/>
      <c r="J343" s="41"/>
      <c r="K343" s="41"/>
      <c r="L343" s="41"/>
      <c r="M343" s="41"/>
      <c r="N343" s="41"/>
      <c r="O343" s="50"/>
      <c r="P343" s="50"/>
      <c r="Q343" s="50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0"/>
      <c r="AY343" s="1"/>
      <c r="AZ343" s="1"/>
      <c r="BA343" s="11"/>
      <c r="BB343" s="11"/>
    </row>
    <row r="344" spans="1:54" x14ac:dyDescent="0.15">
      <c r="A344" s="1"/>
      <c r="B344" s="1"/>
      <c r="C344" s="2"/>
      <c r="D344" s="1"/>
      <c r="E344" s="1"/>
      <c r="F344" s="3"/>
      <c r="G344" s="4"/>
      <c r="H344" s="5"/>
      <c r="I344" s="6"/>
      <c r="J344" s="41"/>
      <c r="K344" s="41"/>
      <c r="L344" s="41"/>
      <c r="M344" s="41"/>
      <c r="N344" s="41"/>
      <c r="O344" s="50"/>
      <c r="P344" s="50"/>
      <c r="Q344" s="50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0"/>
      <c r="AY344" s="1"/>
      <c r="AZ344" s="1"/>
      <c r="BA344" s="11"/>
      <c r="BB344" s="11"/>
    </row>
    <row r="345" spans="1:54" x14ac:dyDescent="0.15">
      <c r="A345" s="1"/>
      <c r="B345" s="1"/>
      <c r="C345" s="2"/>
      <c r="D345" s="1"/>
      <c r="E345" s="1"/>
      <c r="F345" s="3"/>
      <c r="G345" s="4"/>
      <c r="H345" s="5"/>
      <c r="I345" s="6"/>
      <c r="J345" s="41"/>
      <c r="K345" s="41"/>
      <c r="L345" s="41"/>
      <c r="M345" s="41"/>
      <c r="N345" s="41"/>
      <c r="O345" s="50"/>
      <c r="P345" s="50"/>
      <c r="Q345" s="50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0"/>
      <c r="AY345" s="1"/>
      <c r="AZ345" s="1"/>
      <c r="BA345" s="11"/>
      <c r="BB345" s="11"/>
    </row>
    <row r="346" spans="1:54" x14ac:dyDescent="0.15">
      <c r="A346" s="1"/>
      <c r="B346" s="1"/>
      <c r="C346" s="2"/>
      <c r="D346" s="1"/>
      <c r="E346" s="1"/>
      <c r="F346" s="3"/>
      <c r="G346" s="4"/>
      <c r="H346" s="5"/>
      <c r="I346" s="6"/>
      <c r="J346" s="41"/>
      <c r="K346" s="41"/>
      <c r="L346" s="41"/>
      <c r="M346" s="41"/>
      <c r="N346" s="41"/>
      <c r="O346" s="50"/>
      <c r="P346" s="50"/>
      <c r="Q346" s="50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0"/>
      <c r="AY346" s="1"/>
      <c r="AZ346" s="1"/>
      <c r="BA346" s="11"/>
      <c r="BB346" s="11"/>
    </row>
    <row r="347" spans="1:54" x14ac:dyDescent="0.15">
      <c r="A347" s="1"/>
      <c r="B347" s="1"/>
      <c r="C347" s="2"/>
      <c r="D347" s="1"/>
      <c r="E347" s="1"/>
      <c r="F347" s="3"/>
      <c r="G347" s="4"/>
      <c r="H347" s="5"/>
      <c r="I347" s="6"/>
      <c r="J347" s="41"/>
      <c r="K347" s="41"/>
      <c r="L347" s="41"/>
      <c r="M347" s="41"/>
      <c r="N347" s="41"/>
      <c r="O347" s="50"/>
      <c r="P347" s="50"/>
      <c r="Q347" s="50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0"/>
      <c r="AY347" s="1"/>
      <c r="AZ347" s="1"/>
      <c r="BA347" s="11"/>
      <c r="BB347" s="11"/>
    </row>
    <row r="348" spans="1:54" x14ac:dyDescent="0.15">
      <c r="A348" s="1"/>
      <c r="B348" s="1"/>
      <c r="C348" s="2"/>
      <c r="D348" s="1"/>
      <c r="E348" s="1"/>
      <c r="F348" s="3"/>
      <c r="G348" s="4"/>
      <c r="H348" s="5"/>
      <c r="I348" s="6"/>
      <c r="J348" s="41"/>
      <c r="K348" s="41"/>
      <c r="L348" s="41"/>
      <c r="M348" s="41"/>
      <c r="N348" s="41"/>
      <c r="O348" s="50"/>
      <c r="P348" s="50"/>
      <c r="Q348" s="50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0"/>
      <c r="AY348" s="1"/>
      <c r="AZ348" s="1"/>
      <c r="BA348" s="11"/>
      <c r="BB348" s="11"/>
    </row>
    <row r="349" spans="1:54" x14ac:dyDescent="0.15">
      <c r="A349" s="1"/>
      <c r="B349" s="1"/>
      <c r="C349" s="2"/>
      <c r="D349" s="1"/>
      <c r="E349" s="1"/>
      <c r="F349" s="3"/>
      <c r="G349" s="4"/>
      <c r="H349" s="5"/>
      <c r="I349" s="6"/>
      <c r="J349" s="41"/>
      <c r="K349" s="41"/>
      <c r="L349" s="41"/>
      <c r="M349" s="41"/>
      <c r="N349" s="41"/>
      <c r="O349" s="50"/>
      <c r="P349" s="50"/>
      <c r="Q349" s="50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0"/>
      <c r="AY349" s="1"/>
      <c r="AZ349" s="1"/>
      <c r="BA349" s="11"/>
      <c r="BB349" s="11"/>
    </row>
    <row r="350" spans="1:54" x14ac:dyDescent="0.15">
      <c r="A350" s="1"/>
      <c r="B350" s="1"/>
      <c r="C350" s="2"/>
      <c r="D350" s="1"/>
      <c r="E350" s="1"/>
      <c r="F350" s="3"/>
      <c r="G350" s="4"/>
      <c r="H350" s="5"/>
      <c r="I350" s="6"/>
      <c r="J350" s="41"/>
      <c r="K350" s="41"/>
      <c r="L350" s="41"/>
      <c r="M350" s="41"/>
      <c r="N350" s="41"/>
      <c r="O350" s="50"/>
      <c r="P350" s="50"/>
      <c r="Q350" s="50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0"/>
      <c r="AY350" s="1"/>
      <c r="AZ350" s="1"/>
      <c r="BA350" s="11"/>
      <c r="BB350" s="11"/>
    </row>
    <row r="351" spans="1:54" x14ac:dyDescent="0.15">
      <c r="A351" s="1"/>
      <c r="B351" s="1"/>
      <c r="C351" s="2"/>
      <c r="D351" s="1"/>
      <c r="E351" s="1"/>
      <c r="F351" s="3"/>
      <c r="G351" s="4"/>
      <c r="H351" s="5"/>
      <c r="I351" s="6"/>
      <c r="J351" s="41"/>
      <c r="K351" s="41"/>
      <c r="L351" s="41"/>
      <c r="M351" s="41"/>
      <c r="N351" s="41"/>
      <c r="O351" s="50"/>
      <c r="P351" s="50"/>
      <c r="Q351" s="50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0"/>
      <c r="AY351" s="1"/>
      <c r="AZ351" s="1"/>
      <c r="BA351" s="11"/>
      <c r="BB351" s="11"/>
    </row>
    <row r="352" spans="1:54" x14ac:dyDescent="0.15">
      <c r="A352" s="1"/>
      <c r="B352" s="1"/>
      <c r="C352" s="2"/>
      <c r="D352" s="1"/>
      <c r="E352" s="1"/>
      <c r="F352" s="3"/>
      <c r="G352" s="4"/>
      <c r="H352" s="5"/>
      <c r="I352" s="6"/>
      <c r="J352" s="41"/>
      <c r="K352" s="41"/>
      <c r="L352" s="41"/>
      <c r="M352" s="41"/>
      <c r="N352" s="41"/>
      <c r="O352" s="50"/>
      <c r="P352" s="50"/>
      <c r="Q352" s="50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0"/>
      <c r="AY352" s="1"/>
      <c r="AZ352" s="1"/>
      <c r="BA352" s="11"/>
      <c r="BB352" s="11"/>
    </row>
    <row r="353" spans="1:54" x14ac:dyDescent="0.15">
      <c r="A353" s="1"/>
      <c r="B353" s="1"/>
      <c r="C353" s="2"/>
      <c r="D353" s="1"/>
      <c r="E353" s="1"/>
      <c r="F353" s="3"/>
      <c r="G353" s="4"/>
      <c r="H353" s="5"/>
      <c r="I353" s="6"/>
      <c r="J353" s="41"/>
      <c r="K353" s="41"/>
      <c r="L353" s="41"/>
      <c r="M353" s="41"/>
      <c r="N353" s="41"/>
      <c r="O353" s="50"/>
      <c r="P353" s="50"/>
      <c r="Q353" s="50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0"/>
      <c r="AY353" s="1"/>
      <c r="AZ353" s="1"/>
      <c r="BA353" s="11"/>
      <c r="BB353" s="11"/>
    </row>
    <row r="354" spans="1:54" x14ac:dyDescent="0.15">
      <c r="A354" s="1"/>
      <c r="B354" s="1"/>
      <c r="C354" s="2"/>
      <c r="D354" s="1"/>
      <c r="E354" s="1"/>
      <c r="F354" s="3"/>
      <c r="G354" s="4"/>
      <c r="H354" s="5"/>
      <c r="I354" s="6"/>
      <c r="J354" s="41"/>
      <c r="K354" s="41"/>
      <c r="L354" s="41"/>
      <c r="M354" s="41"/>
      <c r="N354" s="41"/>
      <c r="O354" s="50"/>
      <c r="P354" s="50"/>
      <c r="Q354" s="50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0"/>
      <c r="AY354" s="1"/>
      <c r="AZ354" s="1"/>
      <c r="BA354" s="11"/>
      <c r="BB354" s="11"/>
    </row>
    <row r="355" spans="1:54" x14ac:dyDescent="0.15">
      <c r="A355" s="1"/>
      <c r="B355" s="1"/>
      <c r="C355" s="2"/>
      <c r="D355" s="1"/>
      <c r="E355" s="1"/>
      <c r="F355" s="3"/>
      <c r="G355" s="4"/>
      <c r="H355" s="5"/>
      <c r="I355" s="6"/>
      <c r="J355" s="41"/>
      <c r="K355" s="41"/>
      <c r="L355" s="41"/>
      <c r="M355" s="41"/>
      <c r="N355" s="41"/>
      <c r="O355" s="50"/>
      <c r="P355" s="50"/>
      <c r="Q355" s="50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0"/>
      <c r="AY355" s="1"/>
      <c r="AZ355" s="1"/>
      <c r="BA355" s="11"/>
      <c r="BB355" s="11"/>
    </row>
    <row r="356" spans="1:54" x14ac:dyDescent="0.15">
      <c r="A356" s="1"/>
      <c r="B356" s="1"/>
      <c r="C356" s="2"/>
      <c r="D356" s="1"/>
      <c r="E356" s="1"/>
      <c r="F356" s="3"/>
      <c r="G356" s="4"/>
      <c r="H356" s="5"/>
      <c r="I356" s="6"/>
      <c r="J356" s="41"/>
      <c r="K356" s="41"/>
      <c r="L356" s="41"/>
      <c r="M356" s="41"/>
      <c r="N356" s="41"/>
      <c r="O356" s="50"/>
      <c r="P356" s="50"/>
      <c r="Q356" s="50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0"/>
      <c r="AY356" s="1"/>
      <c r="AZ356" s="1"/>
      <c r="BA356" s="11"/>
      <c r="BB356" s="11"/>
    </row>
    <row r="357" spans="1:54" x14ac:dyDescent="0.15">
      <c r="A357" s="1"/>
      <c r="B357" s="1"/>
      <c r="C357" s="2"/>
      <c r="D357" s="1"/>
      <c r="E357" s="1"/>
      <c r="F357" s="3"/>
      <c r="G357" s="4"/>
      <c r="H357" s="5"/>
      <c r="I357" s="6"/>
      <c r="J357" s="41"/>
      <c r="K357" s="41"/>
      <c r="L357" s="41"/>
      <c r="M357" s="41"/>
      <c r="N357" s="41"/>
      <c r="O357" s="50"/>
      <c r="P357" s="50"/>
      <c r="Q357" s="50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0"/>
      <c r="AY357" s="1"/>
      <c r="AZ357" s="1"/>
      <c r="BA357" s="11"/>
      <c r="BB357" s="11"/>
    </row>
    <row r="358" spans="1:54" x14ac:dyDescent="0.15">
      <c r="A358" s="1"/>
      <c r="B358" s="1"/>
      <c r="C358" s="2"/>
      <c r="D358" s="1"/>
      <c r="E358" s="1"/>
      <c r="F358" s="3"/>
      <c r="G358" s="4"/>
      <c r="H358" s="5"/>
      <c r="I358" s="6"/>
      <c r="J358" s="41"/>
      <c r="K358" s="41"/>
      <c r="L358" s="41"/>
      <c r="M358" s="41"/>
      <c r="N358" s="41"/>
      <c r="O358" s="50"/>
      <c r="P358" s="50"/>
      <c r="Q358" s="50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0"/>
      <c r="AY358" s="1"/>
      <c r="AZ358" s="1"/>
      <c r="BA358" s="11"/>
      <c r="BB358" s="11"/>
    </row>
    <row r="359" spans="1:54" x14ac:dyDescent="0.15">
      <c r="A359" s="1"/>
      <c r="B359" s="1"/>
      <c r="C359" s="2"/>
      <c r="D359" s="1"/>
      <c r="E359" s="1"/>
      <c r="F359" s="3"/>
      <c r="G359" s="4"/>
      <c r="H359" s="5"/>
      <c r="I359" s="6"/>
      <c r="J359" s="41"/>
      <c r="K359" s="41"/>
      <c r="L359" s="41"/>
      <c r="M359" s="41"/>
      <c r="N359" s="41"/>
      <c r="O359" s="50"/>
      <c r="P359" s="50"/>
      <c r="Q359" s="50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0"/>
      <c r="AY359" s="1"/>
      <c r="AZ359" s="1"/>
      <c r="BA359" s="11"/>
      <c r="BB359" s="11"/>
    </row>
    <row r="360" spans="1:54" x14ac:dyDescent="0.15">
      <c r="A360" s="1"/>
      <c r="B360" s="1"/>
      <c r="C360" s="2"/>
      <c r="D360" s="1"/>
      <c r="E360" s="1"/>
      <c r="F360" s="3"/>
      <c r="G360" s="4"/>
      <c r="H360" s="5"/>
      <c r="I360" s="6"/>
      <c r="J360" s="41"/>
      <c r="K360" s="41"/>
      <c r="L360" s="41"/>
      <c r="M360" s="41"/>
      <c r="N360" s="41"/>
      <c r="O360" s="50"/>
      <c r="P360" s="50"/>
      <c r="Q360" s="50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0"/>
      <c r="AY360" s="1"/>
      <c r="AZ360" s="1"/>
      <c r="BA360" s="11"/>
      <c r="BB360" s="11"/>
    </row>
    <row r="361" spans="1:54" x14ac:dyDescent="0.15">
      <c r="A361" s="1"/>
      <c r="B361" s="1"/>
      <c r="C361" s="2"/>
      <c r="D361" s="1"/>
      <c r="E361" s="1"/>
      <c r="F361" s="3"/>
      <c r="G361" s="4"/>
      <c r="H361" s="5"/>
      <c r="I361" s="6"/>
      <c r="J361" s="41"/>
      <c r="K361" s="41"/>
      <c r="L361" s="41"/>
      <c r="M361" s="41"/>
      <c r="N361" s="41"/>
      <c r="O361" s="50"/>
      <c r="P361" s="50"/>
      <c r="Q361" s="50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0"/>
      <c r="AY361" s="1"/>
      <c r="AZ361" s="1"/>
      <c r="BA361" s="11"/>
      <c r="BB361" s="11"/>
    </row>
    <row r="362" spans="1:54" x14ac:dyDescent="0.15">
      <c r="A362" s="1"/>
      <c r="B362" s="1"/>
      <c r="C362" s="2"/>
      <c r="D362" s="1"/>
      <c r="E362" s="1"/>
      <c r="F362" s="3"/>
      <c r="G362" s="4"/>
      <c r="H362" s="5"/>
      <c r="I362" s="6"/>
      <c r="J362" s="41"/>
      <c r="K362" s="41"/>
      <c r="L362" s="41"/>
      <c r="M362" s="41"/>
      <c r="N362" s="41"/>
      <c r="O362" s="50"/>
      <c r="P362" s="50"/>
      <c r="Q362" s="50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0"/>
      <c r="AY362" s="1"/>
      <c r="AZ362" s="1"/>
      <c r="BA362" s="11"/>
      <c r="BB362" s="11"/>
    </row>
    <row r="363" spans="1:54" x14ac:dyDescent="0.15">
      <c r="A363" s="1"/>
      <c r="B363" s="1"/>
      <c r="C363" s="2"/>
      <c r="D363" s="1"/>
      <c r="E363" s="1"/>
      <c r="F363" s="3"/>
      <c r="G363" s="4"/>
      <c r="H363" s="5"/>
      <c r="I363" s="6"/>
      <c r="J363" s="41"/>
      <c r="K363" s="41"/>
      <c r="L363" s="41"/>
      <c r="M363" s="41"/>
      <c r="N363" s="41"/>
      <c r="O363" s="50"/>
      <c r="P363" s="50"/>
      <c r="Q363" s="50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0"/>
      <c r="AY363" s="1"/>
      <c r="AZ363" s="1"/>
      <c r="BA363" s="11"/>
      <c r="BB363" s="11"/>
    </row>
    <row r="364" spans="1:54" x14ac:dyDescent="0.15">
      <c r="A364" s="1"/>
      <c r="B364" s="1"/>
      <c r="C364" s="2"/>
      <c r="D364" s="1"/>
      <c r="E364" s="1"/>
      <c r="F364" s="3"/>
      <c r="G364" s="4"/>
      <c r="H364" s="5"/>
      <c r="I364" s="6"/>
      <c r="J364" s="41"/>
      <c r="K364" s="41"/>
      <c r="L364" s="41"/>
      <c r="M364" s="41"/>
      <c r="N364" s="41"/>
      <c r="O364" s="50"/>
      <c r="P364" s="50"/>
      <c r="Q364" s="50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0"/>
      <c r="AY364" s="1"/>
      <c r="AZ364" s="1"/>
      <c r="BA364" s="11"/>
      <c r="BB364" s="11"/>
    </row>
    <row r="365" spans="1:54" x14ac:dyDescent="0.15">
      <c r="A365" s="1"/>
      <c r="B365" s="1"/>
      <c r="C365" s="2"/>
      <c r="D365" s="1"/>
      <c r="E365" s="1"/>
      <c r="F365" s="3"/>
      <c r="G365" s="4"/>
      <c r="H365" s="5"/>
      <c r="I365" s="6"/>
      <c r="J365" s="41"/>
      <c r="K365" s="41"/>
      <c r="L365" s="41"/>
      <c r="M365" s="41"/>
      <c r="N365" s="41"/>
      <c r="O365" s="50"/>
      <c r="P365" s="50"/>
      <c r="Q365" s="50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0"/>
      <c r="AY365" s="1"/>
      <c r="AZ365" s="1"/>
      <c r="BA365" s="11"/>
      <c r="BB365" s="11"/>
    </row>
    <row r="366" spans="1:54" x14ac:dyDescent="0.15">
      <c r="A366" s="1"/>
      <c r="B366" s="1"/>
      <c r="C366" s="2"/>
      <c r="D366" s="1"/>
      <c r="E366" s="1"/>
      <c r="F366" s="3"/>
      <c r="G366" s="4"/>
      <c r="H366" s="5"/>
      <c r="I366" s="6"/>
      <c r="J366" s="41"/>
      <c r="K366" s="41"/>
      <c r="L366" s="41"/>
      <c r="M366" s="41"/>
      <c r="N366" s="41"/>
      <c r="O366" s="50"/>
      <c r="P366" s="50"/>
      <c r="Q366" s="50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0"/>
      <c r="AY366" s="1"/>
      <c r="AZ366" s="1"/>
      <c r="BA366" s="11"/>
      <c r="BB366" s="11"/>
    </row>
    <row r="367" spans="1:54" x14ac:dyDescent="0.15">
      <c r="A367" s="1"/>
      <c r="B367" s="1"/>
      <c r="C367" s="2"/>
      <c r="D367" s="1"/>
      <c r="E367" s="1"/>
      <c r="F367" s="3"/>
      <c r="G367" s="4"/>
      <c r="H367" s="5"/>
      <c r="I367" s="6"/>
      <c r="J367" s="41"/>
      <c r="K367" s="41"/>
      <c r="L367" s="41"/>
      <c r="M367" s="41"/>
      <c r="N367" s="41"/>
      <c r="O367" s="50"/>
      <c r="P367" s="50"/>
      <c r="Q367" s="50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0"/>
      <c r="AY367" s="1"/>
      <c r="AZ367" s="1"/>
      <c r="BA367" s="11"/>
      <c r="BB367" s="11"/>
    </row>
    <row r="368" spans="1:54" x14ac:dyDescent="0.15">
      <c r="A368" s="1"/>
      <c r="B368" s="1"/>
      <c r="C368" s="2"/>
      <c r="D368" s="1"/>
      <c r="E368" s="1"/>
      <c r="F368" s="3"/>
      <c r="G368" s="4"/>
      <c r="H368" s="5"/>
      <c r="I368" s="6"/>
      <c r="J368" s="41"/>
      <c r="K368" s="41"/>
      <c r="L368" s="41"/>
      <c r="M368" s="41"/>
      <c r="N368" s="41"/>
      <c r="O368" s="50"/>
      <c r="P368" s="50"/>
      <c r="Q368" s="50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0"/>
      <c r="AY368" s="1"/>
      <c r="AZ368" s="1"/>
      <c r="BA368" s="11"/>
      <c r="BB368" s="11"/>
    </row>
    <row r="369" spans="1:54" x14ac:dyDescent="0.15">
      <c r="A369" s="1"/>
      <c r="B369" s="1"/>
      <c r="C369" s="2"/>
      <c r="D369" s="1"/>
      <c r="E369" s="1"/>
      <c r="F369" s="3"/>
      <c r="G369" s="4"/>
      <c r="H369" s="5"/>
      <c r="I369" s="6"/>
      <c r="J369" s="41"/>
      <c r="K369" s="41"/>
      <c r="L369" s="41"/>
      <c r="M369" s="41"/>
      <c r="N369" s="41"/>
      <c r="O369" s="50"/>
      <c r="P369" s="50"/>
      <c r="Q369" s="50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0"/>
      <c r="AY369" s="1"/>
      <c r="AZ369" s="1"/>
      <c r="BA369" s="11"/>
      <c r="BB369" s="11"/>
    </row>
    <row r="370" spans="1:54" x14ac:dyDescent="0.15">
      <c r="A370" s="1"/>
      <c r="B370" s="1"/>
      <c r="C370" s="2"/>
      <c r="D370" s="1"/>
      <c r="E370" s="1"/>
      <c r="F370" s="3"/>
      <c r="G370" s="4"/>
      <c r="H370" s="5"/>
      <c r="I370" s="6"/>
      <c r="J370" s="41"/>
      <c r="K370" s="41"/>
      <c r="L370" s="41"/>
      <c r="M370" s="41"/>
      <c r="N370" s="41"/>
      <c r="O370" s="50"/>
      <c r="P370" s="50"/>
      <c r="Q370" s="50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0"/>
      <c r="AY370" s="1"/>
      <c r="AZ370" s="1"/>
      <c r="BA370" s="11"/>
      <c r="BB370" s="11"/>
    </row>
    <row r="371" spans="1:54" x14ac:dyDescent="0.15">
      <c r="A371" s="1"/>
      <c r="B371" s="1"/>
      <c r="C371" s="2"/>
      <c r="D371" s="1"/>
      <c r="E371" s="1"/>
      <c r="F371" s="3"/>
      <c r="G371" s="4"/>
      <c r="H371" s="5"/>
      <c r="I371" s="6"/>
      <c r="J371" s="41"/>
      <c r="K371" s="41"/>
      <c r="L371" s="41"/>
      <c r="M371" s="41"/>
      <c r="N371" s="41"/>
      <c r="O371" s="50"/>
      <c r="P371" s="50"/>
      <c r="Q371" s="50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0"/>
      <c r="AY371" s="1"/>
      <c r="AZ371" s="1"/>
      <c r="BA371" s="11"/>
      <c r="BB371" s="11"/>
    </row>
    <row r="372" spans="1:54" x14ac:dyDescent="0.15">
      <c r="A372" s="1"/>
      <c r="B372" s="1"/>
      <c r="C372" s="2"/>
      <c r="D372" s="1"/>
      <c r="E372" s="1"/>
      <c r="F372" s="3"/>
      <c r="G372" s="4"/>
      <c r="H372" s="5"/>
      <c r="I372" s="6"/>
      <c r="J372" s="41"/>
      <c r="K372" s="41"/>
      <c r="L372" s="41"/>
      <c r="M372" s="41"/>
      <c r="N372" s="41"/>
      <c r="O372" s="50"/>
      <c r="P372" s="50"/>
      <c r="Q372" s="50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0"/>
      <c r="AY372" s="1"/>
      <c r="AZ372" s="1"/>
      <c r="BA372" s="11"/>
      <c r="BB372" s="11"/>
    </row>
    <row r="373" spans="1:54" x14ac:dyDescent="0.15">
      <c r="A373" s="1"/>
      <c r="B373" s="1"/>
      <c r="C373" s="2"/>
      <c r="D373" s="1"/>
      <c r="E373" s="1"/>
      <c r="F373" s="3"/>
      <c r="G373" s="4"/>
      <c r="H373" s="5"/>
      <c r="I373" s="6"/>
      <c r="J373" s="41"/>
      <c r="K373" s="41"/>
      <c r="L373" s="41"/>
      <c r="M373" s="41"/>
      <c r="N373" s="41"/>
      <c r="O373" s="50"/>
      <c r="P373" s="50"/>
      <c r="Q373" s="50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0"/>
      <c r="AY373" s="1"/>
      <c r="AZ373" s="1"/>
      <c r="BA373" s="11"/>
      <c r="BB373" s="11"/>
    </row>
    <row r="374" spans="1:54" x14ac:dyDescent="0.15">
      <c r="A374" s="1"/>
      <c r="B374" s="1"/>
      <c r="C374" s="2"/>
      <c r="D374" s="1"/>
      <c r="E374" s="1"/>
      <c r="F374" s="3"/>
      <c r="G374" s="4"/>
      <c r="H374" s="5"/>
      <c r="I374" s="6"/>
      <c r="J374" s="41"/>
      <c r="K374" s="41"/>
      <c r="L374" s="41"/>
      <c r="M374" s="41"/>
      <c r="N374" s="41"/>
      <c r="O374" s="50"/>
      <c r="P374" s="50"/>
      <c r="Q374" s="50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0"/>
      <c r="AY374" s="1"/>
      <c r="AZ374" s="1"/>
      <c r="BA374" s="11"/>
      <c r="BB374" s="11"/>
    </row>
    <row r="375" spans="1:54" x14ac:dyDescent="0.15">
      <c r="A375" s="1"/>
      <c r="B375" s="1"/>
      <c r="C375" s="2"/>
      <c r="D375" s="1"/>
      <c r="E375" s="1"/>
      <c r="F375" s="3"/>
      <c r="G375" s="4"/>
      <c r="H375" s="5"/>
      <c r="I375" s="6"/>
      <c r="J375" s="41"/>
      <c r="K375" s="41"/>
      <c r="L375" s="41"/>
      <c r="M375" s="41"/>
      <c r="N375" s="41"/>
      <c r="O375" s="50"/>
      <c r="P375" s="50"/>
      <c r="Q375" s="50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0"/>
      <c r="AY375" s="1"/>
      <c r="AZ375" s="1"/>
      <c r="BA375" s="11"/>
      <c r="BB375" s="11"/>
    </row>
    <row r="376" spans="1:54" x14ac:dyDescent="0.15">
      <c r="A376" s="1"/>
      <c r="B376" s="1"/>
      <c r="C376" s="2"/>
      <c r="D376" s="1"/>
      <c r="E376" s="1"/>
      <c r="F376" s="3"/>
      <c r="G376" s="4"/>
      <c r="H376" s="5"/>
      <c r="I376" s="6"/>
      <c r="J376" s="41"/>
      <c r="K376" s="41"/>
      <c r="L376" s="41"/>
      <c r="M376" s="41"/>
      <c r="N376" s="41"/>
      <c r="O376" s="50"/>
      <c r="P376" s="50"/>
      <c r="Q376" s="50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0"/>
      <c r="AY376" s="1"/>
      <c r="AZ376" s="1"/>
      <c r="BA376" s="11"/>
      <c r="BB376" s="11"/>
    </row>
    <row r="377" spans="1:54" x14ac:dyDescent="0.15">
      <c r="A377" s="1"/>
      <c r="B377" s="1"/>
      <c r="C377" s="2"/>
      <c r="D377" s="1"/>
      <c r="E377" s="1"/>
      <c r="F377" s="3"/>
      <c r="G377" s="4"/>
      <c r="H377" s="5"/>
      <c r="I377" s="6"/>
      <c r="J377" s="41"/>
      <c r="K377" s="41"/>
      <c r="L377" s="41"/>
      <c r="M377" s="41"/>
      <c r="N377" s="41"/>
      <c r="O377" s="50"/>
      <c r="P377" s="50"/>
      <c r="Q377" s="50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0"/>
      <c r="AY377" s="1"/>
      <c r="AZ377" s="1"/>
      <c r="BA377" s="11"/>
      <c r="BB377" s="11"/>
    </row>
    <row r="378" spans="1:54" x14ac:dyDescent="0.15">
      <c r="A378" s="1"/>
      <c r="B378" s="1"/>
      <c r="C378" s="2"/>
      <c r="D378" s="1"/>
      <c r="E378" s="1"/>
      <c r="F378" s="3"/>
      <c r="G378" s="4"/>
      <c r="H378" s="5"/>
      <c r="I378" s="6"/>
      <c r="J378" s="41"/>
      <c r="K378" s="41"/>
      <c r="L378" s="41"/>
      <c r="M378" s="41"/>
      <c r="N378" s="41"/>
      <c r="O378" s="50"/>
      <c r="P378" s="50"/>
      <c r="Q378" s="50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0"/>
      <c r="AY378" s="1"/>
      <c r="AZ378" s="1"/>
      <c r="BA378" s="11"/>
      <c r="BB378" s="11"/>
    </row>
    <row r="379" spans="1:54" x14ac:dyDescent="0.15">
      <c r="A379" s="1"/>
      <c r="B379" s="1"/>
      <c r="C379" s="2"/>
      <c r="D379" s="1"/>
      <c r="E379" s="1"/>
      <c r="F379" s="3"/>
      <c r="G379" s="4"/>
      <c r="H379" s="5"/>
      <c r="I379" s="6"/>
      <c r="J379" s="41"/>
      <c r="K379" s="41"/>
      <c r="L379" s="41"/>
      <c r="M379" s="41"/>
      <c r="N379" s="41"/>
      <c r="O379" s="50"/>
      <c r="P379" s="50"/>
      <c r="Q379" s="50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0"/>
      <c r="AY379" s="1"/>
      <c r="AZ379" s="1"/>
      <c r="BA379" s="11"/>
      <c r="BB379" s="11"/>
    </row>
    <row r="380" spans="1:54" x14ac:dyDescent="0.15">
      <c r="A380" s="1"/>
      <c r="B380" s="1"/>
      <c r="C380" s="2"/>
      <c r="D380" s="1"/>
      <c r="E380" s="1"/>
      <c r="F380" s="3"/>
      <c r="G380" s="4"/>
      <c r="H380" s="5"/>
      <c r="I380" s="6"/>
      <c r="J380" s="41"/>
      <c r="K380" s="41"/>
      <c r="L380" s="41"/>
      <c r="M380" s="41"/>
      <c r="N380" s="41"/>
      <c r="O380" s="50"/>
      <c r="P380" s="50"/>
      <c r="Q380" s="50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0"/>
      <c r="AY380" s="1"/>
      <c r="AZ380" s="1"/>
      <c r="BA380" s="11"/>
      <c r="BB380" s="11"/>
    </row>
    <row r="381" spans="1:54" x14ac:dyDescent="0.15">
      <c r="A381" s="1"/>
      <c r="B381" s="1"/>
      <c r="C381" s="2"/>
      <c r="D381" s="1"/>
      <c r="E381" s="1"/>
      <c r="F381" s="3"/>
      <c r="G381" s="4"/>
      <c r="H381" s="5"/>
      <c r="I381" s="6"/>
      <c r="J381" s="41"/>
      <c r="K381" s="41"/>
      <c r="L381" s="41"/>
      <c r="M381" s="41"/>
      <c r="N381" s="41"/>
      <c r="O381" s="50"/>
      <c r="P381" s="50"/>
      <c r="Q381" s="50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0"/>
      <c r="AY381" s="1"/>
      <c r="AZ381" s="1"/>
      <c r="BA381" s="11"/>
      <c r="BB381" s="11"/>
    </row>
    <row r="382" spans="1:54" x14ac:dyDescent="0.15">
      <c r="A382" s="1"/>
      <c r="B382" s="1"/>
      <c r="C382" s="2"/>
      <c r="D382" s="1"/>
      <c r="E382" s="1"/>
      <c r="F382" s="3"/>
      <c r="G382" s="4"/>
      <c r="H382" s="5"/>
      <c r="I382" s="6"/>
      <c r="J382" s="41"/>
      <c r="K382" s="41"/>
      <c r="L382" s="41"/>
      <c r="M382" s="41"/>
      <c r="N382" s="41"/>
      <c r="O382" s="50"/>
      <c r="P382" s="50"/>
      <c r="Q382" s="50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0"/>
      <c r="AY382" s="1"/>
      <c r="AZ382" s="1"/>
      <c r="BA382" s="11"/>
      <c r="BB382" s="11"/>
    </row>
    <row r="383" spans="1:54" x14ac:dyDescent="0.15">
      <c r="A383" s="1"/>
      <c r="B383" s="1"/>
      <c r="C383" s="2"/>
      <c r="D383" s="1"/>
      <c r="E383" s="1"/>
      <c r="F383" s="3"/>
      <c r="G383" s="4"/>
      <c r="H383" s="5"/>
      <c r="I383" s="6"/>
      <c r="J383" s="41"/>
      <c r="K383" s="41"/>
      <c r="L383" s="41"/>
      <c r="M383" s="41"/>
      <c r="N383" s="41"/>
      <c r="O383" s="50"/>
      <c r="P383" s="50"/>
      <c r="Q383" s="50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0"/>
      <c r="AY383" s="1"/>
      <c r="AZ383" s="1"/>
      <c r="BA383" s="11"/>
      <c r="BB383" s="11"/>
    </row>
    <row r="384" spans="1:54" x14ac:dyDescent="0.15">
      <c r="A384" s="1"/>
      <c r="B384" s="1"/>
      <c r="C384" s="2"/>
      <c r="D384" s="1"/>
      <c r="E384" s="1"/>
      <c r="F384" s="3"/>
      <c r="G384" s="4"/>
      <c r="H384" s="5"/>
      <c r="I384" s="6"/>
      <c r="J384" s="41"/>
      <c r="K384" s="41"/>
      <c r="L384" s="41"/>
      <c r="M384" s="41"/>
      <c r="N384" s="41"/>
      <c r="O384" s="50"/>
      <c r="P384" s="50"/>
      <c r="Q384" s="50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0"/>
      <c r="AY384" s="1"/>
      <c r="AZ384" s="1"/>
      <c r="BA384" s="11"/>
      <c r="BB384" s="11"/>
    </row>
    <row r="385" spans="1:54" x14ac:dyDescent="0.15">
      <c r="A385" s="1"/>
      <c r="B385" s="1"/>
      <c r="C385" s="2"/>
      <c r="D385" s="1"/>
      <c r="E385" s="1"/>
      <c r="F385" s="3"/>
      <c r="G385" s="4"/>
      <c r="H385" s="5"/>
      <c r="I385" s="6"/>
      <c r="J385" s="41"/>
      <c r="K385" s="41"/>
      <c r="L385" s="41"/>
      <c r="M385" s="41"/>
      <c r="N385" s="41"/>
      <c r="O385" s="50"/>
      <c r="P385" s="50"/>
      <c r="Q385" s="50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0"/>
      <c r="AY385" s="1"/>
      <c r="AZ385" s="1"/>
      <c r="BA385" s="11"/>
      <c r="BB385" s="11"/>
    </row>
    <row r="386" spans="1:54" x14ac:dyDescent="0.15">
      <c r="A386" s="1"/>
      <c r="B386" s="1"/>
      <c r="C386" s="2"/>
      <c r="D386" s="1"/>
      <c r="E386" s="1"/>
      <c r="F386" s="3"/>
      <c r="G386" s="4"/>
      <c r="H386" s="5"/>
      <c r="I386" s="6"/>
      <c r="J386" s="41"/>
      <c r="K386" s="41"/>
      <c r="L386" s="41"/>
      <c r="M386" s="41"/>
      <c r="N386" s="41"/>
      <c r="O386" s="50"/>
      <c r="P386" s="50"/>
      <c r="Q386" s="50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0"/>
      <c r="AY386" s="1"/>
      <c r="AZ386" s="1"/>
      <c r="BA386" s="11"/>
      <c r="BB386" s="11"/>
    </row>
    <row r="387" spans="1:54" x14ac:dyDescent="0.15">
      <c r="A387" s="1"/>
      <c r="B387" s="1"/>
      <c r="C387" s="2"/>
      <c r="D387" s="1"/>
      <c r="E387" s="1"/>
      <c r="F387" s="3"/>
      <c r="G387" s="4"/>
      <c r="H387" s="5"/>
      <c r="I387" s="6"/>
      <c r="J387" s="41"/>
      <c r="K387" s="41"/>
      <c r="L387" s="41"/>
      <c r="M387" s="41"/>
      <c r="N387" s="41"/>
      <c r="O387" s="50"/>
      <c r="P387" s="50"/>
      <c r="Q387" s="50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0"/>
      <c r="AY387" s="1"/>
      <c r="AZ387" s="1"/>
      <c r="BA387" s="11"/>
      <c r="BB387" s="11"/>
    </row>
    <row r="388" spans="1:54" x14ac:dyDescent="0.15">
      <c r="A388" s="1"/>
      <c r="B388" s="1"/>
      <c r="C388" s="2"/>
      <c r="D388" s="1"/>
      <c r="E388" s="1"/>
      <c r="F388" s="3"/>
      <c r="G388" s="4"/>
      <c r="H388" s="5"/>
      <c r="I388" s="6"/>
      <c r="J388" s="41"/>
      <c r="K388" s="41"/>
      <c r="L388" s="41"/>
      <c r="M388" s="41"/>
      <c r="N388" s="41"/>
      <c r="O388" s="50"/>
      <c r="P388" s="50"/>
      <c r="Q388" s="50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0"/>
      <c r="AY388" s="1"/>
      <c r="AZ388" s="1"/>
      <c r="BA388" s="11"/>
      <c r="BB388" s="11"/>
    </row>
    <row r="389" spans="1:54" x14ac:dyDescent="0.15">
      <c r="A389" s="1"/>
      <c r="B389" s="1"/>
      <c r="C389" s="2"/>
      <c r="D389" s="1"/>
      <c r="E389" s="1"/>
      <c r="F389" s="3"/>
      <c r="G389" s="4"/>
      <c r="H389" s="5"/>
      <c r="I389" s="6"/>
      <c r="J389" s="41"/>
      <c r="K389" s="41"/>
      <c r="L389" s="41"/>
      <c r="M389" s="41"/>
      <c r="N389" s="41"/>
      <c r="O389" s="50"/>
      <c r="P389" s="50"/>
      <c r="Q389" s="50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0"/>
      <c r="AY389" s="1"/>
      <c r="AZ389" s="1"/>
      <c r="BA389" s="11"/>
      <c r="BB389" s="11"/>
    </row>
    <row r="390" spans="1:54" x14ac:dyDescent="0.15">
      <c r="A390" s="1"/>
      <c r="B390" s="1"/>
      <c r="C390" s="2"/>
      <c r="D390" s="1"/>
      <c r="E390" s="1"/>
      <c r="F390" s="3"/>
      <c r="G390" s="4"/>
      <c r="H390" s="5"/>
      <c r="I390" s="6"/>
      <c r="J390" s="41"/>
      <c r="K390" s="41"/>
      <c r="L390" s="41"/>
      <c r="M390" s="41"/>
      <c r="N390" s="41"/>
      <c r="O390" s="50"/>
      <c r="P390" s="50"/>
      <c r="Q390" s="50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0"/>
      <c r="AY390" s="1"/>
      <c r="AZ390" s="1"/>
      <c r="BA390" s="11"/>
      <c r="BB390" s="11"/>
    </row>
    <row r="391" spans="1:54" x14ac:dyDescent="0.15">
      <c r="A391" s="1"/>
      <c r="B391" s="1"/>
      <c r="C391" s="2"/>
      <c r="D391" s="1"/>
      <c r="E391" s="1"/>
      <c r="F391" s="3"/>
      <c r="G391" s="4"/>
      <c r="H391" s="5"/>
      <c r="I391" s="6"/>
      <c r="J391" s="41"/>
      <c r="K391" s="41"/>
      <c r="L391" s="41"/>
      <c r="M391" s="41"/>
      <c r="N391" s="41"/>
      <c r="O391" s="50"/>
      <c r="P391" s="50"/>
      <c r="Q391" s="50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0"/>
      <c r="AY391" s="1"/>
      <c r="AZ391" s="1"/>
      <c r="BA391" s="11"/>
      <c r="BB391" s="11"/>
    </row>
    <row r="392" spans="1:54" x14ac:dyDescent="0.15">
      <c r="A392" s="1"/>
      <c r="B392" s="1"/>
      <c r="C392" s="2"/>
      <c r="D392" s="1"/>
      <c r="E392" s="1"/>
      <c r="F392" s="3"/>
      <c r="G392" s="4"/>
      <c r="H392" s="5"/>
      <c r="I392" s="6"/>
      <c r="J392" s="41"/>
      <c r="K392" s="41"/>
      <c r="L392" s="41"/>
      <c r="M392" s="41"/>
      <c r="N392" s="41"/>
      <c r="O392" s="50"/>
      <c r="P392" s="50"/>
      <c r="Q392" s="50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0"/>
      <c r="AY392" s="1"/>
      <c r="AZ392" s="1"/>
      <c r="BA392" s="11"/>
      <c r="BB392" s="11"/>
    </row>
    <row r="393" spans="1:54" x14ac:dyDescent="0.15">
      <c r="A393" s="1"/>
      <c r="B393" s="1"/>
      <c r="C393" s="2"/>
      <c r="D393" s="1"/>
      <c r="E393" s="1"/>
      <c r="F393" s="3"/>
      <c r="G393" s="4"/>
      <c r="H393" s="5"/>
      <c r="I393" s="6"/>
      <c r="J393" s="41"/>
      <c r="K393" s="41"/>
      <c r="L393" s="41"/>
      <c r="M393" s="41"/>
      <c r="N393" s="41"/>
      <c r="O393" s="50"/>
      <c r="P393" s="50"/>
      <c r="Q393" s="50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0"/>
      <c r="AY393" s="1"/>
      <c r="AZ393" s="1"/>
      <c r="BA393" s="11"/>
      <c r="BB393" s="11"/>
    </row>
    <row r="394" spans="1:54" x14ac:dyDescent="0.15">
      <c r="A394" s="1"/>
      <c r="B394" s="1"/>
      <c r="C394" s="2"/>
      <c r="D394" s="1"/>
      <c r="E394" s="1"/>
      <c r="F394" s="3"/>
      <c r="G394" s="4"/>
      <c r="H394" s="5"/>
      <c r="I394" s="6"/>
      <c r="J394" s="41"/>
      <c r="K394" s="41"/>
      <c r="L394" s="41"/>
      <c r="M394" s="41"/>
      <c r="N394" s="41"/>
      <c r="O394" s="50"/>
      <c r="P394" s="50"/>
      <c r="Q394" s="50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0"/>
      <c r="AY394" s="1"/>
      <c r="AZ394" s="1"/>
      <c r="BA394" s="11"/>
      <c r="BB394" s="11"/>
    </row>
    <row r="395" spans="1:54" x14ac:dyDescent="0.15">
      <c r="A395" s="1"/>
      <c r="B395" s="1"/>
      <c r="C395" s="2"/>
      <c r="D395" s="1"/>
      <c r="E395" s="1"/>
      <c r="F395" s="3"/>
      <c r="G395" s="4"/>
      <c r="H395" s="5"/>
      <c r="I395" s="6"/>
      <c r="J395" s="41"/>
      <c r="K395" s="41"/>
      <c r="L395" s="41"/>
      <c r="M395" s="41"/>
      <c r="N395" s="41"/>
      <c r="O395" s="50"/>
      <c r="P395" s="50"/>
      <c r="Q395" s="50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0"/>
      <c r="AY395" s="1"/>
      <c r="AZ395" s="1"/>
      <c r="BA395" s="11"/>
      <c r="BB395" s="11"/>
    </row>
    <row r="396" spans="1:54" x14ac:dyDescent="0.15">
      <c r="A396" s="1"/>
      <c r="B396" s="1"/>
      <c r="C396" s="2"/>
      <c r="D396" s="1"/>
      <c r="E396" s="1"/>
      <c r="F396" s="3"/>
      <c r="G396" s="4"/>
      <c r="H396" s="5"/>
      <c r="I396" s="6"/>
      <c r="J396" s="41"/>
      <c r="K396" s="41"/>
      <c r="L396" s="41"/>
      <c r="M396" s="41"/>
      <c r="N396" s="41"/>
      <c r="O396" s="50"/>
      <c r="P396" s="50"/>
      <c r="Q396" s="50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0"/>
      <c r="AY396" s="1"/>
      <c r="AZ396" s="1"/>
      <c r="BA396" s="11"/>
      <c r="BB396" s="11"/>
    </row>
    <row r="397" spans="1:54" x14ac:dyDescent="0.15">
      <c r="A397" s="1"/>
      <c r="B397" s="1"/>
      <c r="C397" s="2"/>
      <c r="D397" s="1"/>
      <c r="E397" s="1"/>
      <c r="F397" s="3"/>
      <c r="G397" s="4"/>
      <c r="H397" s="5"/>
      <c r="I397" s="6"/>
      <c r="J397" s="41"/>
      <c r="K397" s="41"/>
      <c r="L397" s="41"/>
      <c r="M397" s="41"/>
      <c r="N397" s="41"/>
      <c r="O397" s="50"/>
      <c r="P397" s="50"/>
      <c r="Q397" s="50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0"/>
      <c r="AY397" s="1"/>
      <c r="AZ397" s="1"/>
      <c r="BA397" s="11"/>
      <c r="BB397" s="11"/>
    </row>
    <row r="398" spans="1:54" x14ac:dyDescent="0.15">
      <c r="A398" s="1"/>
      <c r="B398" s="1"/>
      <c r="C398" s="2"/>
      <c r="D398" s="1"/>
      <c r="E398" s="1"/>
      <c r="F398" s="3"/>
      <c r="G398" s="4"/>
      <c r="H398" s="5"/>
      <c r="I398" s="6"/>
      <c r="J398" s="41"/>
      <c r="K398" s="41"/>
      <c r="L398" s="41"/>
      <c r="M398" s="41"/>
      <c r="N398" s="41"/>
      <c r="O398" s="50"/>
      <c r="P398" s="50"/>
      <c r="Q398" s="50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0"/>
      <c r="AY398" s="1"/>
      <c r="AZ398" s="1"/>
      <c r="BA398" s="11"/>
      <c r="BB398" s="11"/>
    </row>
    <row r="399" spans="1:54" x14ac:dyDescent="0.15">
      <c r="A399" s="1"/>
      <c r="B399" s="1"/>
      <c r="C399" s="2"/>
      <c r="D399" s="1"/>
      <c r="E399" s="1"/>
      <c r="F399" s="3"/>
      <c r="G399" s="4"/>
      <c r="H399" s="5"/>
      <c r="I399" s="6"/>
      <c r="J399" s="41"/>
      <c r="K399" s="41"/>
      <c r="L399" s="41"/>
      <c r="M399" s="41"/>
      <c r="N399" s="41"/>
      <c r="O399" s="50"/>
      <c r="P399" s="50"/>
      <c r="Q399" s="50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0"/>
      <c r="AY399" s="1"/>
      <c r="AZ399" s="1"/>
      <c r="BA399" s="11"/>
      <c r="BB399" s="11"/>
    </row>
    <row r="400" spans="1:54" x14ac:dyDescent="0.15">
      <c r="A400" s="1"/>
      <c r="B400" s="1"/>
      <c r="C400" s="2"/>
      <c r="D400" s="1"/>
      <c r="E400" s="1"/>
      <c r="F400" s="3"/>
      <c r="G400" s="4"/>
      <c r="H400" s="5"/>
      <c r="I400" s="6"/>
      <c r="J400" s="41"/>
      <c r="K400" s="41"/>
      <c r="L400" s="41"/>
      <c r="M400" s="41"/>
      <c r="N400" s="41"/>
      <c r="O400" s="50"/>
      <c r="P400" s="50"/>
      <c r="Q400" s="50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0"/>
      <c r="AY400" s="1"/>
      <c r="AZ400" s="1"/>
      <c r="BA400" s="11"/>
      <c r="BB400" s="11"/>
    </row>
    <row r="401" spans="1:54" x14ac:dyDescent="0.15">
      <c r="A401" s="1"/>
      <c r="B401" s="1"/>
      <c r="C401" s="2"/>
      <c r="D401" s="1"/>
      <c r="E401" s="1"/>
      <c r="F401" s="3"/>
      <c r="G401" s="4"/>
      <c r="H401" s="5"/>
      <c r="I401" s="6"/>
      <c r="J401" s="41"/>
      <c r="K401" s="41"/>
      <c r="L401" s="41"/>
      <c r="M401" s="41"/>
      <c r="N401" s="41"/>
      <c r="O401" s="50"/>
      <c r="P401" s="50"/>
      <c r="Q401" s="50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0"/>
      <c r="AY401" s="1"/>
      <c r="AZ401" s="1"/>
      <c r="BA401" s="11"/>
      <c r="BB401" s="11"/>
    </row>
    <row r="402" spans="1:54" x14ac:dyDescent="0.15">
      <c r="A402" s="1"/>
      <c r="B402" s="1"/>
      <c r="C402" s="2"/>
      <c r="D402" s="1"/>
      <c r="E402" s="1"/>
      <c r="F402" s="3"/>
      <c r="G402" s="4"/>
      <c r="H402" s="5"/>
      <c r="I402" s="6"/>
      <c r="J402" s="41"/>
      <c r="K402" s="41"/>
      <c r="L402" s="41"/>
      <c r="M402" s="41"/>
      <c r="N402" s="41"/>
      <c r="O402" s="50"/>
      <c r="P402" s="50"/>
      <c r="Q402" s="50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0"/>
      <c r="AY402" s="1"/>
      <c r="AZ402" s="1"/>
      <c r="BA402" s="11"/>
      <c r="BB402" s="11"/>
    </row>
    <row r="403" spans="1:54" x14ac:dyDescent="0.15">
      <c r="A403" s="1"/>
      <c r="B403" s="1"/>
      <c r="C403" s="2"/>
      <c r="D403" s="1"/>
      <c r="E403" s="1"/>
      <c r="F403" s="3"/>
      <c r="G403" s="4"/>
      <c r="H403" s="5"/>
      <c r="I403" s="6"/>
      <c r="J403" s="41"/>
      <c r="K403" s="41"/>
      <c r="L403" s="41"/>
      <c r="M403" s="41"/>
      <c r="N403" s="41"/>
      <c r="O403" s="50"/>
      <c r="P403" s="50"/>
      <c r="Q403" s="50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0"/>
      <c r="AY403" s="1"/>
      <c r="AZ403" s="1"/>
      <c r="BA403" s="11"/>
      <c r="BB403" s="11"/>
    </row>
    <row r="404" spans="1:54" x14ac:dyDescent="0.15">
      <c r="A404" s="1"/>
      <c r="B404" s="1"/>
      <c r="C404" s="2"/>
      <c r="D404" s="1"/>
      <c r="E404" s="1"/>
      <c r="F404" s="3"/>
      <c r="G404" s="4"/>
      <c r="H404" s="5"/>
      <c r="I404" s="6"/>
      <c r="J404" s="41"/>
      <c r="K404" s="41"/>
      <c r="L404" s="41"/>
      <c r="M404" s="41"/>
      <c r="N404" s="41"/>
      <c r="O404" s="50"/>
      <c r="P404" s="50"/>
      <c r="Q404" s="50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0"/>
      <c r="AY404" s="1"/>
      <c r="AZ404" s="1"/>
      <c r="BA404" s="11"/>
      <c r="BB404" s="11"/>
    </row>
    <row r="405" spans="1:54" x14ac:dyDescent="0.15">
      <c r="A405" s="1"/>
      <c r="B405" s="1"/>
      <c r="C405" s="2"/>
      <c r="D405" s="1"/>
      <c r="E405" s="1"/>
      <c r="F405" s="3"/>
      <c r="G405" s="4"/>
      <c r="H405" s="5"/>
      <c r="I405" s="6"/>
      <c r="J405" s="41"/>
      <c r="K405" s="41"/>
      <c r="L405" s="41"/>
      <c r="M405" s="41"/>
      <c r="N405" s="41"/>
      <c r="O405" s="50"/>
      <c r="P405" s="50"/>
      <c r="Q405" s="50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0"/>
      <c r="AY405" s="1"/>
      <c r="AZ405" s="1"/>
      <c r="BA405" s="11"/>
      <c r="BB405" s="11"/>
    </row>
    <row r="406" spans="1:54" x14ac:dyDescent="0.15">
      <c r="A406" s="1"/>
      <c r="B406" s="1"/>
      <c r="C406" s="2"/>
      <c r="D406" s="1"/>
      <c r="E406" s="1"/>
      <c r="F406" s="3"/>
      <c r="G406" s="4"/>
      <c r="H406" s="5"/>
      <c r="I406" s="6"/>
      <c r="J406" s="41"/>
      <c r="K406" s="41"/>
      <c r="L406" s="41"/>
      <c r="M406" s="41"/>
      <c r="N406" s="41"/>
      <c r="O406" s="50"/>
      <c r="P406" s="50"/>
      <c r="Q406" s="50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0"/>
      <c r="AY406" s="1"/>
      <c r="AZ406" s="1"/>
      <c r="BA406" s="11"/>
      <c r="BB406" s="11"/>
    </row>
    <row r="407" spans="1:54" x14ac:dyDescent="0.15">
      <c r="A407" s="1"/>
      <c r="B407" s="1"/>
      <c r="C407" s="2"/>
      <c r="D407" s="1"/>
      <c r="E407" s="1"/>
      <c r="F407" s="3"/>
      <c r="G407" s="4"/>
      <c r="H407" s="5"/>
      <c r="I407" s="6"/>
      <c r="J407" s="41"/>
      <c r="K407" s="41"/>
      <c r="L407" s="41"/>
      <c r="M407" s="41"/>
      <c r="N407" s="41"/>
      <c r="O407" s="50"/>
      <c r="P407" s="50"/>
      <c r="Q407" s="50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0"/>
      <c r="AY407" s="1"/>
      <c r="AZ407" s="1"/>
      <c r="BA407" s="11"/>
      <c r="BB407" s="11"/>
    </row>
    <row r="408" spans="1:54" x14ac:dyDescent="0.15">
      <c r="A408" s="1"/>
      <c r="B408" s="1"/>
      <c r="C408" s="2"/>
      <c r="D408" s="1"/>
      <c r="E408" s="1"/>
      <c r="F408" s="3"/>
      <c r="G408" s="4"/>
      <c r="H408" s="5"/>
      <c r="I408" s="6"/>
      <c r="J408" s="41"/>
      <c r="K408" s="41"/>
      <c r="L408" s="41"/>
      <c r="M408" s="41"/>
      <c r="N408" s="41"/>
      <c r="O408" s="50"/>
      <c r="P408" s="50"/>
      <c r="Q408" s="50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0"/>
      <c r="AY408" s="1"/>
      <c r="AZ408" s="1"/>
      <c r="BA408" s="11"/>
      <c r="BB408" s="11"/>
    </row>
    <row r="409" spans="1:54" x14ac:dyDescent="0.15">
      <c r="A409" s="1"/>
      <c r="B409" s="1"/>
      <c r="C409" s="2"/>
      <c r="D409" s="1"/>
      <c r="E409" s="1"/>
      <c r="F409" s="3"/>
      <c r="G409" s="4"/>
      <c r="H409" s="5"/>
      <c r="I409" s="6"/>
      <c r="J409" s="41"/>
      <c r="K409" s="41"/>
      <c r="L409" s="41"/>
      <c r="M409" s="41"/>
      <c r="N409" s="41"/>
      <c r="O409" s="50"/>
      <c r="P409" s="50"/>
      <c r="Q409" s="50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0"/>
      <c r="AY409" s="1"/>
      <c r="AZ409" s="1"/>
      <c r="BA409" s="11"/>
      <c r="BB409" s="11"/>
    </row>
    <row r="410" spans="1:54" x14ac:dyDescent="0.15">
      <c r="A410" s="1"/>
      <c r="B410" s="1"/>
      <c r="C410" s="2"/>
      <c r="D410" s="1"/>
      <c r="E410" s="1"/>
      <c r="F410" s="3"/>
      <c r="G410" s="4"/>
      <c r="H410" s="5"/>
      <c r="I410" s="6"/>
      <c r="J410" s="41"/>
      <c r="K410" s="41"/>
      <c r="L410" s="41"/>
      <c r="M410" s="41"/>
      <c r="N410" s="41"/>
      <c r="O410" s="50"/>
      <c r="P410" s="50"/>
      <c r="Q410" s="50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0"/>
      <c r="AY410" s="1"/>
      <c r="AZ410" s="1"/>
      <c r="BA410" s="11"/>
      <c r="BB410" s="11"/>
    </row>
    <row r="411" spans="1:54" x14ac:dyDescent="0.15">
      <c r="A411" s="1"/>
      <c r="B411" s="1"/>
      <c r="C411" s="2"/>
      <c r="D411" s="1"/>
      <c r="E411" s="1"/>
      <c r="F411" s="3"/>
      <c r="G411" s="4"/>
      <c r="H411" s="5"/>
      <c r="I411" s="6"/>
      <c r="J411" s="41"/>
      <c r="K411" s="41"/>
      <c r="L411" s="41"/>
      <c r="M411" s="41"/>
      <c r="N411" s="41"/>
      <c r="O411" s="50"/>
      <c r="P411" s="50"/>
      <c r="Q411" s="50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0"/>
      <c r="AY411" s="1"/>
      <c r="AZ411" s="1"/>
      <c r="BA411" s="11"/>
      <c r="BB411" s="11"/>
    </row>
    <row r="412" spans="1:54" x14ac:dyDescent="0.15">
      <c r="A412" s="1"/>
      <c r="B412" s="1"/>
      <c r="C412" s="2"/>
      <c r="D412" s="1"/>
      <c r="E412" s="1"/>
      <c r="F412" s="3"/>
      <c r="G412" s="4"/>
      <c r="H412" s="5"/>
      <c r="I412" s="6"/>
      <c r="J412" s="41"/>
      <c r="K412" s="41"/>
      <c r="L412" s="41"/>
      <c r="M412" s="41"/>
      <c r="N412" s="41"/>
      <c r="O412" s="50"/>
      <c r="P412" s="50"/>
      <c r="Q412" s="50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0"/>
      <c r="AY412" s="1"/>
      <c r="AZ412" s="1"/>
      <c r="BA412" s="11"/>
      <c r="BB412" s="11"/>
    </row>
    <row r="413" spans="1:54" x14ac:dyDescent="0.15">
      <c r="A413" s="1"/>
      <c r="B413" s="1"/>
      <c r="C413" s="2"/>
      <c r="D413" s="1"/>
      <c r="E413" s="1"/>
      <c r="F413" s="3"/>
      <c r="G413" s="4"/>
      <c r="H413" s="5"/>
      <c r="I413" s="6"/>
      <c r="J413" s="41"/>
      <c r="K413" s="41"/>
      <c r="L413" s="41"/>
      <c r="M413" s="41"/>
      <c r="N413" s="41"/>
      <c r="O413" s="50"/>
      <c r="P413" s="50"/>
      <c r="Q413" s="50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0"/>
      <c r="AY413" s="1"/>
      <c r="AZ413" s="1"/>
      <c r="BA413" s="11"/>
      <c r="BB413" s="11"/>
    </row>
    <row r="414" spans="1:54" x14ac:dyDescent="0.15">
      <c r="A414" s="1"/>
      <c r="B414" s="1"/>
      <c r="C414" s="2"/>
      <c r="D414" s="1"/>
      <c r="E414" s="1"/>
      <c r="F414" s="3"/>
      <c r="G414" s="4"/>
      <c r="H414" s="5"/>
      <c r="I414" s="6"/>
      <c r="J414" s="41"/>
      <c r="K414" s="41"/>
      <c r="L414" s="41"/>
      <c r="M414" s="41"/>
      <c r="N414" s="41"/>
      <c r="O414" s="50"/>
      <c r="P414" s="50"/>
      <c r="Q414" s="50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0"/>
      <c r="AY414" s="1"/>
      <c r="AZ414" s="1"/>
      <c r="BA414" s="11"/>
      <c r="BB414" s="11"/>
    </row>
    <row r="415" spans="1:54" x14ac:dyDescent="0.15">
      <c r="A415" s="1"/>
      <c r="B415" s="1"/>
      <c r="C415" s="2"/>
      <c r="D415" s="1"/>
      <c r="E415" s="1"/>
      <c r="F415" s="3"/>
      <c r="G415" s="4"/>
      <c r="H415" s="5"/>
      <c r="I415" s="6"/>
      <c r="J415" s="41"/>
      <c r="K415" s="41"/>
      <c r="L415" s="41"/>
      <c r="M415" s="41"/>
      <c r="N415" s="41"/>
      <c r="O415" s="50"/>
      <c r="P415" s="50"/>
      <c r="Q415" s="50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0"/>
      <c r="AY415" s="1"/>
      <c r="AZ415" s="1"/>
      <c r="BA415" s="11"/>
      <c r="BB415" s="11"/>
    </row>
    <row r="416" spans="1:54" x14ac:dyDescent="0.15">
      <c r="A416" s="1"/>
      <c r="B416" s="1"/>
      <c r="C416" s="2"/>
      <c r="D416" s="1"/>
      <c r="E416" s="1"/>
      <c r="F416" s="3"/>
      <c r="G416" s="4"/>
      <c r="H416" s="5"/>
      <c r="I416" s="6"/>
      <c r="J416" s="41"/>
      <c r="K416" s="41"/>
      <c r="L416" s="41"/>
      <c r="M416" s="41"/>
      <c r="N416" s="41"/>
      <c r="O416" s="50"/>
      <c r="P416" s="50"/>
      <c r="Q416" s="50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0"/>
      <c r="AY416" s="1"/>
      <c r="AZ416" s="1"/>
      <c r="BA416" s="11"/>
      <c r="BB416" s="11"/>
    </row>
    <row r="417" spans="1:54" x14ac:dyDescent="0.15">
      <c r="A417" s="1"/>
      <c r="B417" s="1"/>
      <c r="C417" s="2"/>
      <c r="D417" s="1"/>
      <c r="E417" s="1"/>
      <c r="F417" s="3"/>
      <c r="G417" s="4"/>
      <c r="H417" s="5"/>
      <c r="I417" s="6"/>
      <c r="J417" s="41"/>
      <c r="K417" s="41"/>
      <c r="L417" s="41"/>
      <c r="M417" s="41"/>
      <c r="N417" s="41"/>
      <c r="O417" s="50"/>
      <c r="P417" s="50"/>
      <c r="Q417" s="50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0"/>
      <c r="AY417" s="1"/>
      <c r="AZ417" s="1"/>
      <c r="BA417" s="11"/>
      <c r="BB417" s="11"/>
    </row>
    <row r="418" spans="1:54" x14ac:dyDescent="0.15">
      <c r="A418" s="1"/>
      <c r="B418" s="1"/>
      <c r="C418" s="2"/>
      <c r="D418" s="1"/>
      <c r="E418" s="1"/>
      <c r="F418" s="3"/>
      <c r="G418" s="4"/>
      <c r="H418" s="5"/>
      <c r="I418" s="6"/>
      <c r="J418" s="41"/>
      <c r="K418" s="41"/>
      <c r="L418" s="41"/>
      <c r="M418" s="41"/>
      <c r="N418" s="41"/>
      <c r="O418" s="50"/>
      <c r="P418" s="50"/>
      <c r="Q418" s="50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0"/>
      <c r="AY418" s="1"/>
      <c r="AZ418" s="1"/>
      <c r="BA418" s="11"/>
      <c r="BB418" s="11"/>
    </row>
    <row r="419" spans="1:54" x14ac:dyDescent="0.15">
      <c r="A419" s="1"/>
      <c r="B419" s="1"/>
      <c r="C419" s="2"/>
      <c r="D419" s="1"/>
      <c r="E419" s="1"/>
      <c r="F419" s="3"/>
      <c r="G419" s="4"/>
      <c r="H419" s="5"/>
      <c r="I419" s="6"/>
      <c r="J419" s="41"/>
      <c r="K419" s="41"/>
      <c r="L419" s="41"/>
      <c r="M419" s="41"/>
      <c r="N419" s="41"/>
      <c r="O419" s="50"/>
      <c r="P419" s="50"/>
      <c r="Q419" s="50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0"/>
      <c r="AY419" s="1"/>
      <c r="AZ419" s="1"/>
      <c r="BA419" s="11"/>
      <c r="BB419" s="11"/>
    </row>
    <row r="420" spans="1:54" x14ac:dyDescent="0.15">
      <c r="A420" s="1"/>
      <c r="B420" s="1"/>
      <c r="C420" s="2"/>
      <c r="D420" s="1"/>
      <c r="E420" s="1"/>
      <c r="F420" s="3"/>
      <c r="G420" s="4"/>
      <c r="H420" s="5"/>
      <c r="I420" s="6"/>
      <c r="J420" s="41"/>
      <c r="K420" s="41"/>
      <c r="L420" s="41"/>
      <c r="M420" s="41"/>
      <c r="N420" s="41"/>
      <c r="O420" s="50"/>
      <c r="P420" s="50"/>
      <c r="Q420" s="50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0"/>
      <c r="AY420" s="1"/>
      <c r="AZ420" s="1"/>
      <c r="BA420" s="11"/>
      <c r="BB420" s="11"/>
    </row>
    <row r="421" spans="1:54" x14ac:dyDescent="0.15">
      <c r="A421" s="1"/>
      <c r="B421" s="1"/>
      <c r="C421" s="2"/>
      <c r="D421" s="1"/>
      <c r="E421" s="1"/>
      <c r="F421" s="3"/>
      <c r="G421" s="4"/>
      <c r="H421" s="5"/>
      <c r="I421" s="6"/>
      <c r="J421" s="41"/>
      <c r="K421" s="41"/>
      <c r="L421" s="41"/>
      <c r="M421" s="41"/>
      <c r="N421" s="41"/>
      <c r="O421" s="50"/>
      <c r="P421" s="50"/>
      <c r="Q421" s="50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0"/>
      <c r="AY421" s="1"/>
      <c r="AZ421" s="1"/>
      <c r="BA421" s="11"/>
      <c r="BB421" s="11"/>
    </row>
    <row r="422" spans="1:54" x14ac:dyDescent="0.15">
      <c r="A422" s="1"/>
      <c r="B422" s="1"/>
      <c r="C422" s="2"/>
      <c r="D422" s="1"/>
      <c r="E422" s="1"/>
      <c r="F422" s="3"/>
      <c r="G422" s="4"/>
      <c r="H422" s="5"/>
      <c r="I422" s="6"/>
      <c r="J422" s="41"/>
      <c r="K422" s="41"/>
      <c r="L422" s="41"/>
      <c r="M422" s="41"/>
      <c r="N422" s="41"/>
      <c r="O422" s="50"/>
      <c r="P422" s="50"/>
      <c r="Q422" s="50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0"/>
      <c r="AY422" s="1"/>
      <c r="AZ422" s="1"/>
      <c r="BA422" s="11"/>
      <c r="BB422" s="11"/>
    </row>
    <row r="423" spans="1:54" x14ac:dyDescent="0.15">
      <c r="A423" s="1"/>
      <c r="B423" s="1"/>
      <c r="C423" s="2"/>
      <c r="D423" s="1"/>
      <c r="E423" s="1"/>
      <c r="F423" s="3"/>
      <c r="G423" s="4"/>
      <c r="H423" s="5"/>
      <c r="I423" s="6"/>
      <c r="J423" s="41"/>
      <c r="K423" s="41"/>
      <c r="L423" s="41"/>
      <c r="M423" s="41"/>
      <c r="N423" s="41"/>
      <c r="O423" s="50"/>
      <c r="P423" s="50"/>
      <c r="Q423" s="50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0"/>
      <c r="AY423" s="1"/>
      <c r="AZ423" s="1"/>
      <c r="BA423" s="11"/>
      <c r="BB423" s="11"/>
    </row>
    <row r="424" spans="1:54" x14ac:dyDescent="0.15">
      <c r="A424" s="1"/>
      <c r="B424" s="1"/>
      <c r="C424" s="2"/>
      <c r="D424" s="1"/>
      <c r="E424" s="1"/>
      <c r="F424" s="3"/>
      <c r="G424" s="4"/>
      <c r="H424" s="5"/>
      <c r="I424" s="6"/>
      <c r="J424" s="41"/>
      <c r="K424" s="41"/>
      <c r="L424" s="41"/>
      <c r="M424" s="41"/>
      <c r="N424" s="41"/>
      <c r="O424" s="50"/>
      <c r="P424" s="50"/>
      <c r="Q424" s="50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0"/>
      <c r="AY424" s="1"/>
      <c r="AZ424" s="1"/>
      <c r="BA424" s="11"/>
      <c r="BB424" s="11"/>
    </row>
    <row r="425" spans="1:54" x14ac:dyDescent="0.15">
      <c r="A425" s="1"/>
      <c r="B425" s="1"/>
      <c r="C425" s="2"/>
      <c r="D425" s="1"/>
      <c r="E425" s="1"/>
      <c r="F425" s="3"/>
      <c r="G425" s="4"/>
      <c r="H425" s="5"/>
      <c r="I425" s="6"/>
      <c r="J425" s="41"/>
      <c r="K425" s="41"/>
      <c r="L425" s="41"/>
      <c r="M425" s="41"/>
      <c r="N425" s="41"/>
      <c r="O425" s="50"/>
      <c r="P425" s="50"/>
      <c r="Q425" s="50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0"/>
      <c r="AY425" s="1"/>
      <c r="AZ425" s="1"/>
      <c r="BA425" s="11"/>
      <c r="BB425" s="11"/>
    </row>
    <row r="426" spans="1:54" x14ac:dyDescent="0.15">
      <c r="A426" s="1"/>
      <c r="B426" s="1"/>
      <c r="C426" s="2"/>
      <c r="D426" s="1"/>
      <c r="E426" s="1"/>
      <c r="F426" s="3"/>
      <c r="G426" s="4"/>
      <c r="H426" s="5"/>
      <c r="I426" s="6"/>
      <c r="J426" s="41"/>
      <c r="K426" s="41"/>
      <c r="L426" s="41"/>
      <c r="M426" s="41"/>
      <c r="N426" s="41"/>
      <c r="O426" s="50"/>
      <c r="P426" s="50"/>
      <c r="Q426" s="50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0"/>
      <c r="AY426" s="1"/>
      <c r="AZ426" s="1"/>
      <c r="BA426" s="11"/>
      <c r="BB426" s="11"/>
    </row>
    <row r="427" spans="1:54" x14ac:dyDescent="0.15">
      <c r="A427" s="1"/>
      <c r="B427" s="1"/>
      <c r="C427" s="2"/>
      <c r="D427" s="1"/>
      <c r="E427" s="1"/>
      <c r="F427" s="3"/>
      <c r="G427" s="4"/>
      <c r="H427" s="5"/>
      <c r="I427" s="6"/>
      <c r="J427" s="41"/>
      <c r="K427" s="41"/>
      <c r="L427" s="41"/>
      <c r="M427" s="41"/>
      <c r="N427" s="41"/>
      <c r="O427" s="50"/>
      <c r="P427" s="50"/>
      <c r="Q427" s="50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0"/>
      <c r="AY427" s="1"/>
      <c r="AZ427" s="1"/>
      <c r="BA427" s="11"/>
      <c r="BB427" s="11"/>
    </row>
    <row r="428" spans="1:54" x14ac:dyDescent="0.15">
      <c r="A428" s="1"/>
      <c r="B428" s="1"/>
      <c r="C428" s="2"/>
      <c r="D428" s="1"/>
      <c r="E428" s="1"/>
      <c r="F428" s="3"/>
      <c r="G428" s="4"/>
      <c r="H428" s="5"/>
      <c r="I428" s="6"/>
      <c r="J428" s="41"/>
      <c r="K428" s="41"/>
      <c r="L428" s="41"/>
      <c r="M428" s="41"/>
      <c r="N428" s="41"/>
      <c r="O428" s="50"/>
      <c r="P428" s="50"/>
      <c r="Q428" s="50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0"/>
      <c r="AY428" s="1"/>
      <c r="AZ428" s="1"/>
      <c r="BA428" s="11"/>
      <c r="BB428" s="11"/>
    </row>
    <row r="429" spans="1:54" x14ac:dyDescent="0.15">
      <c r="A429" s="1"/>
      <c r="B429" s="1"/>
      <c r="C429" s="2"/>
      <c r="D429" s="1"/>
      <c r="E429" s="1"/>
      <c r="F429" s="3"/>
      <c r="G429" s="4"/>
      <c r="H429" s="5"/>
      <c r="I429" s="6"/>
      <c r="J429" s="41"/>
      <c r="K429" s="41"/>
      <c r="L429" s="41"/>
      <c r="M429" s="41"/>
      <c r="N429" s="41"/>
      <c r="O429" s="50"/>
      <c r="P429" s="50"/>
      <c r="Q429" s="50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0"/>
      <c r="AY429" s="1"/>
      <c r="AZ429" s="1"/>
      <c r="BA429" s="11"/>
      <c r="BB429" s="11"/>
    </row>
    <row r="430" spans="1:54" x14ac:dyDescent="0.15">
      <c r="A430" s="1"/>
      <c r="B430" s="1"/>
      <c r="C430" s="2"/>
      <c r="D430" s="1"/>
      <c r="E430" s="1"/>
      <c r="F430" s="3"/>
      <c r="G430" s="4"/>
      <c r="H430" s="5"/>
      <c r="I430" s="6"/>
      <c r="J430" s="41"/>
      <c r="K430" s="41"/>
      <c r="L430" s="41"/>
      <c r="M430" s="41"/>
      <c r="N430" s="41"/>
      <c r="O430" s="50"/>
      <c r="P430" s="50"/>
      <c r="Q430" s="50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0"/>
      <c r="AY430" s="1"/>
      <c r="AZ430" s="1"/>
      <c r="BA430" s="11"/>
      <c r="BB430" s="11"/>
    </row>
    <row r="431" spans="1:54" x14ac:dyDescent="0.15">
      <c r="A431" s="1"/>
      <c r="B431" s="1"/>
      <c r="C431" s="2"/>
      <c r="D431" s="1"/>
      <c r="E431" s="1"/>
      <c r="F431" s="3"/>
      <c r="G431" s="4"/>
      <c r="H431" s="5"/>
      <c r="I431" s="6"/>
      <c r="J431" s="41"/>
      <c r="K431" s="41"/>
      <c r="L431" s="41"/>
      <c r="M431" s="41"/>
      <c r="N431" s="41"/>
      <c r="O431" s="50"/>
      <c r="P431" s="50"/>
      <c r="Q431" s="50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0"/>
      <c r="AY431" s="1"/>
      <c r="AZ431" s="1"/>
      <c r="BA431" s="11"/>
      <c r="BB431" s="11"/>
    </row>
    <row r="432" spans="1:54" x14ac:dyDescent="0.15">
      <c r="A432" s="1"/>
      <c r="B432" s="1"/>
      <c r="C432" s="2"/>
      <c r="D432" s="1"/>
      <c r="E432" s="1"/>
      <c r="F432" s="3"/>
      <c r="G432" s="4"/>
      <c r="H432" s="5"/>
      <c r="I432" s="6"/>
      <c r="J432" s="41"/>
      <c r="K432" s="41"/>
      <c r="L432" s="41"/>
      <c r="M432" s="41"/>
      <c r="N432" s="41"/>
      <c r="O432" s="50"/>
      <c r="P432" s="50"/>
      <c r="Q432" s="50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0"/>
      <c r="AY432" s="1"/>
      <c r="AZ432" s="1"/>
      <c r="BA432" s="11"/>
      <c r="BB432" s="11"/>
    </row>
    <row r="433" spans="1:54" x14ac:dyDescent="0.15">
      <c r="A433" s="1"/>
      <c r="B433" s="1"/>
      <c r="C433" s="2"/>
      <c r="D433" s="1"/>
      <c r="E433" s="1"/>
      <c r="F433" s="3"/>
      <c r="G433" s="4"/>
      <c r="H433" s="5"/>
      <c r="I433" s="6"/>
      <c r="J433" s="41"/>
      <c r="K433" s="41"/>
      <c r="L433" s="41"/>
      <c r="M433" s="41"/>
      <c r="N433" s="41"/>
      <c r="O433" s="50"/>
      <c r="P433" s="50"/>
      <c r="Q433" s="50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0"/>
      <c r="AY433" s="1"/>
      <c r="AZ433" s="1"/>
      <c r="BA433" s="11"/>
      <c r="BB433" s="11"/>
    </row>
    <row r="434" spans="1:54" x14ac:dyDescent="0.15">
      <c r="A434" s="1"/>
      <c r="B434" s="1"/>
      <c r="C434" s="2"/>
      <c r="D434" s="1"/>
      <c r="E434" s="1"/>
      <c r="F434" s="3"/>
      <c r="G434" s="4"/>
      <c r="H434" s="5"/>
      <c r="I434" s="6"/>
      <c r="J434" s="41"/>
      <c r="K434" s="41"/>
      <c r="L434" s="41"/>
      <c r="M434" s="41"/>
      <c r="N434" s="41"/>
      <c r="O434" s="50"/>
      <c r="P434" s="50"/>
      <c r="Q434" s="50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0"/>
      <c r="AY434" s="1"/>
      <c r="AZ434" s="1"/>
      <c r="BA434" s="11"/>
      <c r="BB434" s="11"/>
    </row>
    <row r="435" spans="1:54" x14ac:dyDescent="0.15">
      <c r="A435" s="1"/>
      <c r="B435" s="1"/>
      <c r="C435" s="2"/>
      <c r="D435" s="1"/>
      <c r="E435" s="1"/>
      <c r="F435" s="3"/>
      <c r="G435" s="4"/>
      <c r="H435" s="5"/>
      <c r="I435" s="6"/>
      <c r="J435" s="41"/>
      <c r="K435" s="41"/>
      <c r="L435" s="41"/>
      <c r="M435" s="41"/>
      <c r="N435" s="41"/>
      <c r="O435" s="50"/>
      <c r="P435" s="50"/>
      <c r="Q435" s="50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0"/>
      <c r="AY435" s="1"/>
      <c r="AZ435" s="1"/>
      <c r="BA435" s="11"/>
      <c r="BB435" s="11"/>
    </row>
    <row r="436" spans="1:54" x14ac:dyDescent="0.15">
      <c r="A436" s="1"/>
      <c r="B436" s="1"/>
      <c r="C436" s="2"/>
      <c r="D436" s="1"/>
      <c r="E436" s="1"/>
      <c r="F436" s="3"/>
      <c r="G436" s="4"/>
      <c r="H436" s="5"/>
      <c r="I436" s="6"/>
      <c r="J436" s="41"/>
      <c r="K436" s="41"/>
      <c r="L436" s="41"/>
      <c r="M436" s="41"/>
      <c r="N436" s="41"/>
      <c r="O436" s="50"/>
      <c r="P436" s="50"/>
      <c r="Q436" s="50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0"/>
      <c r="AY436" s="1"/>
      <c r="AZ436" s="1"/>
      <c r="BA436" s="11"/>
      <c r="BB436" s="11"/>
    </row>
    <row r="437" spans="1:54" x14ac:dyDescent="0.15">
      <c r="A437" s="1"/>
      <c r="B437" s="1"/>
      <c r="C437" s="2"/>
      <c r="D437" s="1"/>
      <c r="E437" s="1"/>
      <c r="F437" s="3"/>
      <c r="G437" s="4"/>
      <c r="H437" s="5"/>
      <c r="I437" s="6"/>
      <c r="J437" s="41"/>
      <c r="K437" s="41"/>
      <c r="L437" s="41"/>
      <c r="M437" s="41"/>
      <c r="N437" s="41"/>
      <c r="O437" s="50"/>
      <c r="P437" s="50"/>
      <c r="Q437" s="50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0"/>
      <c r="AY437" s="1"/>
      <c r="AZ437" s="1"/>
      <c r="BA437" s="11"/>
      <c r="BB437" s="11"/>
    </row>
    <row r="438" spans="1:54" x14ac:dyDescent="0.15">
      <c r="A438" s="1"/>
      <c r="B438" s="1"/>
      <c r="C438" s="2"/>
      <c r="D438" s="1"/>
      <c r="E438" s="1"/>
      <c r="F438" s="3"/>
      <c r="G438" s="4"/>
      <c r="H438" s="5"/>
      <c r="I438" s="6"/>
      <c r="J438" s="41"/>
      <c r="K438" s="41"/>
      <c r="L438" s="41"/>
      <c r="M438" s="41"/>
      <c r="N438" s="41"/>
      <c r="O438" s="50"/>
      <c r="P438" s="50"/>
      <c r="Q438" s="50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0"/>
      <c r="AY438" s="1"/>
      <c r="AZ438" s="1"/>
      <c r="BA438" s="11"/>
      <c r="BB438" s="11"/>
    </row>
    <row r="439" spans="1:54" x14ac:dyDescent="0.15">
      <c r="A439" s="1"/>
      <c r="B439" s="1"/>
      <c r="C439" s="2"/>
      <c r="D439" s="1"/>
      <c r="E439" s="1"/>
      <c r="F439" s="3"/>
      <c r="G439" s="4"/>
      <c r="H439" s="5"/>
      <c r="I439" s="6"/>
      <c r="J439" s="41"/>
      <c r="K439" s="41"/>
      <c r="L439" s="41"/>
      <c r="M439" s="41"/>
      <c r="N439" s="41"/>
      <c r="O439" s="50"/>
      <c r="P439" s="50"/>
      <c r="Q439" s="50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0"/>
      <c r="AY439" s="1"/>
      <c r="AZ439" s="1"/>
      <c r="BA439" s="11"/>
      <c r="BB439" s="11"/>
    </row>
    <row r="440" spans="1:54" x14ac:dyDescent="0.15">
      <c r="A440" s="1"/>
      <c r="B440" s="1"/>
      <c r="C440" s="2"/>
      <c r="D440" s="1"/>
      <c r="E440" s="1"/>
      <c r="F440" s="3"/>
      <c r="G440" s="4"/>
      <c r="H440" s="5"/>
      <c r="I440" s="6"/>
      <c r="J440" s="41"/>
      <c r="K440" s="41"/>
      <c r="L440" s="41"/>
      <c r="M440" s="41"/>
      <c r="N440" s="41"/>
      <c r="O440" s="50"/>
      <c r="P440" s="50"/>
      <c r="Q440" s="50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0"/>
      <c r="AY440" s="1"/>
      <c r="AZ440" s="1"/>
      <c r="BA440" s="11"/>
      <c r="BB440" s="11"/>
    </row>
    <row r="441" spans="1:54" x14ac:dyDescent="0.15">
      <c r="A441" s="1"/>
      <c r="B441" s="1"/>
      <c r="C441" s="2"/>
      <c r="D441" s="1"/>
      <c r="E441" s="1"/>
      <c r="F441" s="3"/>
      <c r="G441" s="4"/>
      <c r="H441" s="5"/>
      <c r="I441" s="6"/>
      <c r="J441" s="41"/>
      <c r="K441" s="41"/>
      <c r="L441" s="41"/>
      <c r="M441" s="41"/>
      <c r="N441" s="41"/>
      <c r="O441" s="50"/>
      <c r="P441" s="50"/>
      <c r="Q441" s="50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0"/>
      <c r="AY441" s="1"/>
      <c r="AZ441" s="1"/>
      <c r="BA441" s="11"/>
      <c r="BB441" s="11"/>
    </row>
    <row r="442" spans="1:54" x14ac:dyDescent="0.15">
      <c r="A442" s="1"/>
      <c r="B442" s="1"/>
      <c r="C442" s="2"/>
      <c r="D442" s="1"/>
      <c r="E442" s="1"/>
      <c r="F442" s="3"/>
      <c r="G442" s="4"/>
      <c r="H442" s="5"/>
      <c r="I442" s="6"/>
      <c r="J442" s="41"/>
      <c r="K442" s="41"/>
      <c r="L442" s="41"/>
      <c r="M442" s="41"/>
      <c r="N442" s="41"/>
      <c r="O442" s="50"/>
      <c r="P442" s="50"/>
      <c r="Q442" s="50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0"/>
      <c r="AY442" s="1"/>
      <c r="AZ442" s="1"/>
      <c r="BA442" s="11"/>
      <c r="BB442" s="11"/>
    </row>
    <row r="443" spans="1:54" x14ac:dyDescent="0.15">
      <c r="A443" s="1"/>
      <c r="B443" s="1"/>
      <c r="C443" s="2"/>
      <c r="D443" s="1"/>
      <c r="E443" s="1"/>
      <c r="F443" s="3"/>
      <c r="G443" s="4"/>
      <c r="H443" s="5"/>
      <c r="I443" s="6"/>
      <c r="J443" s="41"/>
      <c r="K443" s="41"/>
      <c r="L443" s="41"/>
      <c r="M443" s="41"/>
      <c r="N443" s="41"/>
      <c r="O443" s="50"/>
      <c r="P443" s="50"/>
      <c r="Q443" s="50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0"/>
      <c r="AY443" s="1"/>
      <c r="AZ443" s="1"/>
      <c r="BA443" s="11"/>
      <c r="BB443" s="11"/>
    </row>
    <row r="444" spans="1:54" x14ac:dyDescent="0.15">
      <c r="A444" s="1"/>
      <c r="B444" s="1"/>
      <c r="C444" s="2"/>
      <c r="D444" s="1"/>
      <c r="E444" s="1"/>
      <c r="F444" s="3"/>
      <c r="G444" s="4"/>
      <c r="H444" s="5"/>
      <c r="I444" s="6"/>
      <c r="J444" s="41"/>
      <c r="K444" s="41"/>
      <c r="L444" s="41"/>
      <c r="M444" s="41"/>
      <c r="N444" s="41"/>
      <c r="O444" s="50"/>
      <c r="P444" s="50"/>
      <c r="Q444" s="50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0"/>
      <c r="AY444" s="1"/>
      <c r="AZ444" s="1"/>
      <c r="BA444" s="11"/>
      <c r="BB444" s="11"/>
    </row>
    <row r="445" spans="1:54" x14ac:dyDescent="0.15">
      <c r="A445" s="1"/>
      <c r="B445" s="1"/>
      <c r="C445" s="2"/>
      <c r="D445" s="1"/>
      <c r="E445" s="1"/>
      <c r="F445" s="3"/>
      <c r="G445" s="4"/>
      <c r="H445" s="5"/>
      <c r="I445" s="6"/>
      <c r="J445" s="41"/>
      <c r="K445" s="41"/>
      <c r="L445" s="41"/>
      <c r="M445" s="41"/>
      <c r="N445" s="41"/>
      <c r="O445" s="50"/>
      <c r="P445" s="50"/>
      <c r="Q445" s="50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0"/>
      <c r="AY445" s="1"/>
      <c r="AZ445" s="1"/>
      <c r="BA445" s="11"/>
      <c r="BB445" s="11"/>
    </row>
    <row r="446" spans="1:54" x14ac:dyDescent="0.15">
      <c r="A446" s="1"/>
      <c r="B446" s="1"/>
      <c r="C446" s="2"/>
      <c r="D446" s="1"/>
      <c r="E446" s="1"/>
      <c r="F446" s="3"/>
      <c r="G446" s="4"/>
      <c r="H446" s="5"/>
      <c r="I446" s="6"/>
      <c r="J446" s="41"/>
      <c r="K446" s="41"/>
      <c r="L446" s="41"/>
      <c r="M446" s="41"/>
      <c r="N446" s="41"/>
      <c r="O446" s="50"/>
      <c r="P446" s="50"/>
      <c r="Q446" s="50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0"/>
      <c r="AY446" s="1"/>
      <c r="AZ446" s="1"/>
      <c r="BA446" s="11"/>
      <c r="BB446" s="11"/>
    </row>
    <row r="447" spans="1:54" x14ac:dyDescent="0.15">
      <c r="A447" s="1"/>
      <c r="B447" s="1"/>
      <c r="C447" s="2"/>
      <c r="D447" s="1"/>
      <c r="E447" s="1"/>
      <c r="F447" s="3"/>
      <c r="G447" s="4"/>
      <c r="H447" s="5"/>
      <c r="I447" s="6"/>
      <c r="J447" s="41"/>
      <c r="K447" s="41"/>
      <c r="L447" s="41"/>
      <c r="M447" s="41"/>
      <c r="N447" s="41"/>
      <c r="O447" s="50"/>
      <c r="P447" s="50"/>
      <c r="Q447" s="50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0"/>
      <c r="AY447" s="1"/>
      <c r="AZ447" s="1"/>
      <c r="BA447" s="11"/>
      <c r="BB447" s="11"/>
    </row>
    <row r="448" spans="1:54" x14ac:dyDescent="0.15">
      <c r="A448" s="1"/>
      <c r="B448" s="1"/>
      <c r="C448" s="2"/>
      <c r="D448" s="1"/>
      <c r="E448" s="1"/>
      <c r="F448" s="3"/>
      <c r="G448" s="4"/>
      <c r="H448" s="5"/>
      <c r="I448" s="6"/>
      <c r="J448" s="41"/>
      <c r="K448" s="41"/>
      <c r="L448" s="41"/>
      <c r="M448" s="41"/>
      <c r="N448" s="41"/>
      <c r="O448" s="50"/>
      <c r="P448" s="50"/>
      <c r="Q448" s="50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0"/>
      <c r="AY448" s="1"/>
      <c r="AZ448" s="1"/>
      <c r="BA448" s="11"/>
      <c r="BB448" s="11"/>
    </row>
    <row r="449" spans="1:54" x14ac:dyDescent="0.15">
      <c r="A449" s="1"/>
      <c r="B449" s="1"/>
      <c r="C449" s="2"/>
      <c r="D449" s="1"/>
      <c r="E449" s="1"/>
      <c r="F449" s="3"/>
      <c r="G449" s="4"/>
      <c r="H449" s="5"/>
      <c r="I449" s="6"/>
      <c r="J449" s="41"/>
      <c r="K449" s="41"/>
      <c r="L449" s="41"/>
      <c r="M449" s="41"/>
      <c r="N449" s="41"/>
      <c r="O449" s="50"/>
      <c r="P449" s="50"/>
      <c r="Q449" s="50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0"/>
      <c r="AY449" s="1"/>
      <c r="AZ449" s="1"/>
      <c r="BA449" s="11"/>
      <c r="BB449" s="11"/>
    </row>
    <row r="450" spans="1:54" x14ac:dyDescent="0.15">
      <c r="A450" s="1"/>
      <c r="B450" s="1"/>
      <c r="C450" s="2"/>
      <c r="D450" s="1"/>
      <c r="E450" s="1"/>
      <c r="F450" s="3"/>
      <c r="G450" s="4"/>
      <c r="H450" s="5"/>
      <c r="I450" s="6"/>
      <c r="J450" s="41"/>
      <c r="K450" s="41"/>
      <c r="L450" s="41"/>
      <c r="M450" s="41"/>
      <c r="N450" s="41"/>
      <c r="O450" s="50"/>
      <c r="P450" s="50"/>
      <c r="Q450" s="50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0"/>
      <c r="AY450" s="1"/>
      <c r="AZ450" s="1"/>
      <c r="BA450" s="11"/>
      <c r="BB450" s="11"/>
    </row>
    <row r="451" spans="1:54" x14ac:dyDescent="0.15">
      <c r="A451" s="1"/>
      <c r="B451" s="1"/>
      <c r="C451" s="2"/>
      <c r="D451" s="1"/>
      <c r="E451" s="1"/>
      <c r="F451" s="3"/>
      <c r="G451" s="4"/>
      <c r="H451" s="5"/>
      <c r="I451" s="6"/>
      <c r="J451" s="41"/>
      <c r="K451" s="41"/>
      <c r="L451" s="41"/>
      <c r="M451" s="41"/>
      <c r="N451" s="41"/>
      <c r="O451" s="50"/>
      <c r="P451" s="50"/>
      <c r="Q451" s="50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0"/>
      <c r="AY451" s="1"/>
      <c r="AZ451" s="1"/>
      <c r="BA451" s="11"/>
      <c r="BB451" s="11"/>
    </row>
    <row r="452" spans="1:54" x14ac:dyDescent="0.15">
      <c r="A452" s="1"/>
      <c r="B452" s="1"/>
      <c r="C452" s="2"/>
      <c r="D452" s="1"/>
      <c r="E452" s="1"/>
      <c r="F452" s="3"/>
      <c r="G452" s="4"/>
      <c r="H452" s="5"/>
      <c r="I452" s="6"/>
      <c r="J452" s="41"/>
      <c r="K452" s="41"/>
      <c r="L452" s="41"/>
      <c r="M452" s="41"/>
      <c r="N452" s="41"/>
      <c r="O452" s="50"/>
      <c r="P452" s="50"/>
      <c r="Q452" s="50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0"/>
      <c r="AY452" s="1"/>
      <c r="AZ452" s="1"/>
      <c r="BA452" s="11"/>
      <c r="BB452" s="11"/>
    </row>
    <row r="453" spans="1:54" x14ac:dyDescent="0.15">
      <c r="A453" s="1"/>
      <c r="B453" s="1"/>
      <c r="C453" s="2"/>
      <c r="D453" s="1"/>
      <c r="E453" s="1"/>
      <c r="F453" s="3"/>
      <c r="G453" s="4"/>
      <c r="H453" s="5"/>
      <c r="I453" s="6"/>
      <c r="J453" s="41"/>
      <c r="K453" s="41"/>
      <c r="L453" s="41"/>
      <c r="M453" s="41"/>
      <c r="N453" s="41"/>
      <c r="O453" s="50"/>
      <c r="P453" s="50"/>
      <c r="Q453" s="50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0"/>
      <c r="AY453" s="1"/>
      <c r="AZ453" s="1"/>
      <c r="BA453" s="11"/>
      <c r="BB453" s="11"/>
    </row>
    <row r="454" spans="1:54" x14ac:dyDescent="0.15">
      <c r="A454" s="1"/>
      <c r="B454" s="1"/>
      <c r="C454" s="2"/>
      <c r="D454" s="1"/>
      <c r="E454" s="1"/>
      <c r="F454" s="3"/>
      <c r="G454" s="4"/>
      <c r="H454" s="5"/>
      <c r="I454" s="6"/>
      <c r="J454" s="41"/>
      <c r="K454" s="41"/>
      <c r="L454" s="41"/>
      <c r="M454" s="41"/>
      <c r="N454" s="41"/>
      <c r="O454" s="50"/>
      <c r="P454" s="50"/>
      <c r="Q454" s="50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0"/>
      <c r="AY454" s="1"/>
      <c r="AZ454" s="1"/>
      <c r="BA454" s="11"/>
      <c r="BB454" s="11"/>
    </row>
    <row r="455" spans="1:54" x14ac:dyDescent="0.15">
      <c r="A455" s="1"/>
      <c r="B455" s="1"/>
      <c r="C455" s="2"/>
      <c r="D455" s="1"/>
      <c r="E455" s="1"/>
      <c r="F455" s="3"/>
      <c r="G455" s="4"/>
      <c r="H455" s="5"/>
      <c r="I455" s="6"/>
      <c r="J455" s="41"/>
      <c r="K455" s="41"/>
      <c r="L455" s="41"/>
      <c r="M455" s="41"/>
      <c r="N455" s="41"/>
      <c r="O455" s="50"/>
      <c r="P455" s="50"/>
      <c r="Q455" s="50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0"/>
      <c r="AY455" s="1"/>
      <c r="AZ455" s="1"/>
      <c r="BA455" s="11"/>
      <c r="BB455" s="11"/>
    </row>
    <row r="456" spans="1:54" x14ac:dyDescent="0.15">
      <c r="A456" s="1"/>
      <c r="B456" s="1"/>
      <c r="C456" s="2"/>
      <c r="D456" s="1"/>
      <c r="E456" s="1"/>
      <c r="F456" s="3"/>
      <c r="G456" s="4"/>
      <c r="H456" s="5"/>
      <c r="I456" s="6"/>
      <c r="J456" s="41"/>
      <c r="K456" s="41"/>
      <c r="L456" s="41"/>
      <c r="M456" s="41"/>
      <c r="N456" s="41"/>
      <c r="O456" s="50"/>
      <c r="P456" s="50"/>
      <c r="Q456" s="50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0"/>
      <c r="AY456" s="1"/>
      <c r="AZ456" s="1"/>
      <c r="BA456" s="11"/>
      <c r="BB456" s="11"/>
    </row>
    <row r="457" spans="1:54" x14ac:dyDescent="0.15">
      <c r="A457" s="1"/>
      <c r="B457" s="1"/>
      <c r="C457" s="2"/>
      <c r="D457" s="1"/>
      <c r="E457" s="1"/>
      <c r="F457" s="3"/>
      <c r="G457" s="4"/>
      <c r="H457" s="5"/>
      <c r="I457" s="6"/>
      <c r="J457" s="41"/>
      <c r="K457" s="41"/>
      <c r="L457" s="41"/>
      <c r="M457" s="41"/>
      <c r="N457" s="41"/>
      <c r="O457" s="50"/>
      <c r="P457" s="50"/>
      <c r="Q457" s="50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0"/>
      <c r="AY457" s="1"/>
      <c r="AZ457" s="1"/>
      <c r="BA457" s="11"/>
      <c r="BB457" s="11"/>
    </row>
    <row r="458" spans="1:54" x14ac:dyDescent="0.15">
      <c r="A458" s="1"/>
      <c r="B458" s="1"/>
      <c r="C458" s="2"/>
      <c r="D458" s="1"/>
      <c r="E458" s="1"/>
      <c r="F458" s="3"/>
      <c r="G458" s="4"/>
      <c r="H458" s="5"/>
      <c r="I458" s="6"/>
      <c r="J458" s="41"/>
      <c r="K458" s="41"/>
      <c r="L458" s="41"/>
      <c r="M458" s="41"/>
      <c r="N458" s="41"/>
      <c r="O458" s="50"/>
      <c r="P458" s="50"/>
      <c r="Q458" s="50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0"/>
      <c r="AY458" s="1"/>
      <c r="AZ458" s="1"/>
      <c r="BA458" s="11"/>
      <c r="BB458" s="11"/>
    </row>
    <row r="459" spans="1:54" x14ac:dyDescent="0.15">
      <c r="A459" s="1"/>
      <c r="B459" s="1"/>
      <c r="C459" s="2"/>
      <c r="D459" s="1"/>
      <c r="E459" s="1"/>
      <c r="F459" s="3"/>
      <c r="G459" s="4"/>
      <c r="H459" s="5"/>
      <c r="I459" s="6"/>
      <c r="J459" s="41"/>
      <c r="K459" s="41"/>
      <c r="L459" s="41"/>
      <c r="M459" s="41"/>
      <c r="N459" s="41"/>
      <c r="O459" s="50"/>
      <c r="P459" s="50"/>
      <c r="Q459" s="50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0"/>
      <c r="AY459" s="1"/>
      <c r="AZ459" s="1"/>
      <c r="BA459" s="11"/>
      <c r="BB459" s="11"/>
    </row>
    <row r="460" spans="1:54" x14ac:dyDescent="0.15">
      <c r="A460" s="1"/>
      <c r="B460" s="1"/>
      <c r="C460" s="2"/>
      <c r="D460" s="1"/>
      <c r="E460" s="1"/>
      <c r="F460" s="3"/>
      <c r="G460" s="4"/>
      <c r="H460" s="5"/>
      <c r="I460" s="6"/>
      <c r="J460" s="41"/>
      <c r="K460" s="41"/>
      <c r="L460" s="41"/>
      <c r="M460" s="41"/>
      <c r="N460" s="41"/>
      <c r="O460" s="50"/>
      <c r="P460" s="50"/>
      <c r="Q460" s="50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0"/>
      <c r="AY460" s="1"/>
      <c r="AZ460" s="1"/>
      <c r="BA460" s="11"/>
      <c r="BB460" s="11"/>
    </row>
    <row r="461" spans="1:54" x14ac:dyDescent="0.15">
      <c r="A461" s="1"/>
      <c r="B461" s="1"/>
      <c r="C461" s="2"/>
      <c r="D461" s="1"/>
      <c r="E461" s="1"/>
      <c r="F461" s="3"/>
      <c r="G461" s="4"/>
      <c r="H461" s="5"/>
      <c r="I461" s="6"/>
      <c r="J461" s="41"/>
      <c r="K461" s="41"/>
      <c r="L461" s="41"/>
      <c r="M461" s="41"/>
      <c r="N461" s="41"/>
      <c r="O461" s="50"/>
      <c r="P461" s="50"/>
      <c r="Q461" s="50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0"/>
      <c r="AY461" s="1"/>
      <c r="AZ461" s="1"/>
      <c r="BA461" s="11"/>
      <c r="BB461" s="11"/>
    </row>
    <row r="462" spans="1:54" x14ac:dyDescent="0.15">
      <c r="A462" s="1"/>
      <c r="B462" s="1"/>
      <c r="C462" s="2"/>
      <c r="D462" s="1"/>
      <c r="E462" s="1"/>
      <c r="F462" s="3"/>
      <c r="G462" s="4"/>
      <c r="H462" s="5"/>
      <c r="I462" s="6"/>
      <c r="J462" s="41"/>
      <c r="K462" s="41"/>
      <c r="L462" s="41"/>
      <c r="M462" s="41"/>
      <c r="N462" s="41"/>
      <c r="O462" s="50"/>
      <c r="P462" s="50"/>
      <c r="Q462" s="50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0"/>
      <c r="AY462" s="1"/>
      <c r="AZ462" s="1"/>
      <c r="BA462" s="11"/>
      <c r="BB462" s="11"/>
    </row>
    <row r="463" spans="1:54" x14ac:dyDescent="0.15">
      <c r="A463" s="1"/>
      <c r="B463" s="1"/>
      <c r="C463" s="2"/>
      <c r="D463" s="1"/>
      <c r="E463" s="1"/>
      <c r="F463" s="3"/>
      <c r="G463" s="4"/>
      <c r="H463" s="5"/>
      <c r="I463" s="6"/>
      <c r="J463" s="41"/>
      <c r="K463" s="41"/>
      <c r="L463" s="41"/>
      <c r="M463" s="41"/>
      <c r="N463" s="41"/>
      <c r="O463" s="50"/>
      <c r="P463" s="50"/>
      <c r="Q463" s="50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0"/>
      <c r="AY463" s="1"/>
      <c r="AZ463" s="1"/>
      <c r="BA463" s="11"/>
      <c r="BB463" s="11"/>
    </row>
    <row r="464" spans="1:54" x14ac:dyDescent="0.15">
      <c r="A464" s="1"/>
      <c r="B464" s="1"/>
      <c r="C464" s="2"/>
      <c r="D464" s="1"/>
      <c r="E464" s="1"/>
      <c r="F464" s="3"/>
      <c r="G464" s="4"/>
      <c r="H464" s="5"/>
      <c r="I464" s="6"/>
      <c r="J464" s="41"/>
      <c r="K464" s="41"/>
      <c r="L464" s="41"/>
      <c r="M464" s="41"/>
      <c r="N464" s="41"/>
      <c r="O464" s="50"/>
      <c r="P464" s="50"/>
      <c r="Q464" s="50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0"/>
      <c r="AY464" s="1"/>
      <c r="AZ464" s="1"/>
      <c r="BA464" s="11"/>
      <c r="BB464" s="11"/>
    </row>
    <row r="465" spans="1:54" x14ac:dyDescent="0.15">
      <c r="A465" s="1"/>
      <c r="B465" s="1"/>
      <c r="C465" s="2"/>
      <c r="D465" s="1"/>
      <c r="E465" s="1"/>
      <c r="F465" s="3"/>
      <c r="G465" s="4"/>
      <c r="H465" s="5"/>
      <c r="I465" s="6"/>
      <c r="J465" s="41"/>
      <c r="K465" s="41"/>
      <c r="L465" s="41"/>
      <c r="M465" s="41"/>
      <c r="N465" s="41"/>
      <c r="O465" s="50"/>
      <c r="P465" s="50"/>
      <c r="Q465" s="50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0"/>
      <c r="AY465" s="1"/>
      <c r="AZ465" s="1"/>
      <c r="BA465" s="11"/>
      <c r="BB465" s="11"/>
    </row>
    <row r="466" spans="1:54" x14ac:dyDescent="0.15">
      <c r="A466" s="1"/>
      <c r="B466" s="1"/>
      <c r="C466" s="2"/>
      <c r="D466" s="1"/>
      <c r="E466" s="1"/>
      <c r="F466" s="3"/>
      <c r="G466" s="4"/>
      <c r="H466" s="5"/>
      <c r="I466" s="6"/>
      <c r="J466" s="41"/>
      <c r="K466" s="41"/>
      <c r="L466" s="41"/>
      <c r="M466" s="41"/>
      <c r="N466" s="41"/>
      <c r="O466" s="50"/>
      <c r="P466" s="50"/>
      <c r="Q466" s="50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0"/>
      <c r="AY466" s="1"/>
      <c r="AZ466" s="1"/>
      <c r="BA466" s="11"/>
      <c r="BB466" s="11"/>
    </row>
    <row r="467" spans="1:54" x14ac:dyDescent="0.15">
      <c r="A467" s="1"/>
      <c r="B467" s="1"/>
      <c r="C467" s="2"/>
      <c r="D467" s="1"/>
      <c r="E467" s="1"/>
      <c r="F467" s="3"/>
      <c r="G467" s="4"/>
      <c r="H467" s="5"/>
      <c r="I467" s="6"/>
      <c r="J467" s="41"/>
      <c r="K467" s="41"/>
      <c r="L467" s="41"/>
      <c r="M467" s="41"/>
      <c r="N467" s="41"/>
      <c r="O467" s="50"/>
      <c r="P467" s="50"/>
      <c r="Q467" s="50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0"/>
      <c r="AY467" s="1"/>
      <c r="AZ467" s="1"/>
      <c r="BA467" s="11"/>
      <c r="BB467" s="11"/>
    </row>
    <row r="468" spans="1:54" x14ac:dyDescent="0.15">
      <c r="A468" s="1"/>
      <c r="B468" s="1"/>
      <c r="C468" s="2"/>
      <c r="D468" s="1"/>
      <c r="E468" s="1"/>
      <c r="F468" s="3"/>
      <c r="G468" s="4"/>
      <c r="H468" s="5"/>
      <c r="I468" s="6"/>
      <c r="J468" s="41"/>
      <c r="K468" s="41"/>
      <c r="L468" s="41"/>
      <c r="M468" s="41"/>
      <c r="N468" s="41"/>
      <c r="O468" s="50"/>
      <c r="P468" s="50"/>
      <c r="Q468" s="50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0"/>
      <c r="AY468" s="1"/>
      <c r="AZ468" s="1"/>
      <c r="BA468" s="11"/>
      <c r="BB468" s="11"/>
    </row>
    <row r="469" spans="1:54" x14ac:dyDescent="0.15">
      <c r="A469" s="1"/>
      <c r="B469" s="1"/>
      <c r="C469" s="2"/>
      <c r="D469" s="1"/>
      <c r="E469" s="1"/>
      <c r="F469" s="3"/>
      <c r="G469" s="4"/>
      <c r="H469" s="5"/>
      <c r="I469" s="6"/>
      <c r="J469" s="41"/>
      <c r="K469" s="41"/>
      <c r="L469" s="41"/>
      <c r="M469" s="41"/>
      <c r="N469" s="41"/>
      <c r="O469" s="50"/>
      <c r="P469" s="50"/>
      <c r="Q469" s="50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0"/>
      <c r="AY469" s="1"/>
      <c r="AZ469" s="1"/>
      <c r="BA469" s="11"/>
      <c r="BB469" s="11"/>
    </row>
    <row r="470" spans="1:54" x14ac:dyDescent="0.15">
      <c r="A470" s="1"/>
      <c r="B470" s="1"/>
      <c r="C470" s="2"/>
      <c r="D470" s="1"/>
      <c r="E470" s="1"/>
      <c r="F470" s="3"/>
      <c r="G470" s="4"/>
      <c r="H470" s="5"/>
      <c r="I470" s="6"/>
      <c r="J470" s="41"/>
      <c r="K470" s="41"/>
      <c r="L470" s="41"/>
      <c r="M470" s="41"/>
      <c r="N470" s="41"/>
      <c r="O470" s="50"/>
      <c r="P470" s="50"/>
      <c r="Q470" s="50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0"/>
      <c r="AY470" s="1"/>
      <c r="AZ470" s="1"/>
      <c r="BA470" s="11"/>
      <c r="BB470" s="11"/>
    </row>
    <row r="471" spans="1:54" x14ac:dyDescent="0.15">
      <c r="A471" s="1"/>
      <c r="B471" s="1"/>
      <c r="C471" s="2"/>
      <c r="D471" s="1"/>
      <c r="E471" s="1"/>
      <c r="F471" s="3"/>
      <c r="G471" s="4"/>
      <c r="H471" s="5"/>
      <c r="I471" s="6"/>
      <c r="J471" s="41"/>
      <c r="K471" s="41"/>
      <c r="L471" s="41"/>
      <c r="M471" s="41"/>
      <c r="N471" s="41"/>
      <c r="O471" s="50"/>
      <c r="P471" s="50"/>
      <c r="Q471" s="50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0"/>
      <c r="AY471" s="1"/>
      <c r="AZ471" s="1"/>
      <c r="BA471" s="11"/>
      <c r="BB471" s="11"/>
    </row>
    <row r="472" spans="1:54" x14ac:dyDescent="0.15">
      <c r="A472" s="1"/>
      <c r="B472" s="1"/>
      <c r="C472" s="2"/>
      <c r="D472" s="1"/>
      <c r="E472" s="1"/>
      <c r="F472" s="3"/>
      <c r="G472" s="4"/>
      <c r="H472" s="5"/>
      <c r="I472" s="6"/>
      <c r="J472" s="41"/>
      <c r="K472" s="41"/>
      <c r="L472" s="41"/>
      <c r="M472" s="41"/>
      <c r="N472" s="41"/>
      <c r="O472" s="50"/>
      <c r="P472" s="50"/>
      <c r="Q472" s="50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0"/>
      <c r="AY472" s="1"/>
      <c r="AZ472" s="1"/>
      <c r="BA472" s="11"/>
      <c r="BB472" s="11"/>
    </row>
    <row r="473" spans="1:54" x14ac:dyDescent="0.15">
      <c r="A473" s="1"/>
      <c r="B473" s="1"/>
      <c r="C473" s="2"/>
      <c r="D473" s="1"/>
      <c r="E473" s="1"/>
      <c r="F473" s="3"/>
      <c r="G473" s="4"/>
      <c r="H473" s="5"/>
      <c r="I473" s="6"/>
      <c r="J473" s="41"/>
      <c r="K473" s="41"/>
      <c r="L473" s="41"/>
      <c r="M473" s="41"/>
      <c r="N473" s="41"/>
      <c r="O473" s="50"/>
      <c r="P473" s="50"/>
      <c r="Q473" s="50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0"/>
      <c r="AY473" s="1"/>
      <c r="AZ473" s="1"/>
      <c r="BA473" s="11"/>
      <c r="BB473" s="11"/>
    </row>
    <row r="474" spans="1:54" x14ac:dyDescent="0.15">
      <c r="A474" s="1"/>
      <c r="B474" s="1"/>
      <c r="C474" s="2"/>
      <c r="D474" s="1"/>
      <c r="E474" s="1"/>
      <c r="F474" s="3"/>
      <c r="G474" s="4"/>
      <c r="H474" s="5"/>
      <c r="I474" s="6"/>
      <c r="J474" s="41"/>
      <c r="K474" s="41"/>
      <c r="L474" s="41"/>
      <c r="M474" s="41"/>
      <c r="N474" s="41"/>
      <c r="O474" s="50"/>
      <c r="P474" s="50"/>
      <c r="Q474" s="50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0"/>
      <c r="AY474" s="1"/>
      <c r="AZ474" s="1"/>
      <c r="BA474" s="11"/>
      <c r="BB474" s="11"/>
    </row>
    <row r="475" spans="1:54" x14ac:dyDescent="0.15">
      <c r="A475" s="1"/>
      <c r="B475" s="1"/>
      <c r="C475" s="2"/>
      <c r="D475" s="1"/>
      <c r="E475" s="1"/>
      <c r="F475" s="3"/>
      <c r="G475" s="4"/>
      <c r="H475" s="5"/>
      <c r="I475" s="6"/>
      <c r="J475" s="41"/>
      <c r="K475" s="41"/>
      <c r="L475" s="41"/>
      <c r="M475" s="41"/>
      <c r="N475" s="41"/>
      <c r="O475" s="50"/>
      <c r="P475" s="50"/>
      <c r="Q475" s="50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0"/>
      <c r="AY475" s="1"/>
      <c r="AZ475" s="1"/>
      <c r="BA475" s="11"/>
      <c r="BB475" s="11"/>
    </row>
    <row r="476" spans="1:54" x14ac:dyDescent="0.15">
      <c r="A476" s="1"/>
      <c r="B476" s="1"/>
      <c r="C476" s="2"/>
      <c r="D476" s="1"/>
      <c r="E476" s="1"/>
      <c r="F476" s="3"/>
      <c r="G476" s="4"/>
      <c r="H476" s="5"/>
      <c r="I476" s="6"/>
      <c r="J476" s="41"/>
      <c r="K476" s="41"/>
      <c r="L476" s="41"/>
      <c r="M476" s="41"/>
      <c r="N476" s="41"/>
      <c r="O476" s="50"/>
      <c r="P476" s="50"/>
      <c r="Q476" s="50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0"/>
      <c r="AY476" s="1"/>
      <c r="AZ476" s="1"/>
      <c r="BA476" s="11"/>
      <c r="BB476" s="11"/>
    </row>
    <row r="477" spans="1:54" x14ac:dyDescent="0.15">
      <c r="A477" s="1"/>
      <c r="B477" s="1"/>
      <c r="C477" s="2"/>
      <c r="D477" s="1"/>
      <c r="E477" s="1"/>
      <c r="F477" s="3"/>
      <c r="G477" s="4"/>
      <c r="H477" s="5"/>
      <c r="I477" s="6"/>
      <c r="J477" s="41"/>
      <c r="K477" s="41"/>
      <c r="L477" s="41"/>
      <c r="M477" s="41"/>
      <c r="N477" s="41"/>
      <c r="O477" s="50"/>
      <c r="P477" s="50"/>
      <c r="Q477" s="50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0"/>
      <c r="AY477" s="1"/>
      <c r="AZ477" s="1"/>
      <c r="BA477" s="11"/>
      <c r="BB477" s="11"/>
    </row>
    <row r="478" spans="1:54" x14ac:dyDescent="0.15">
      <c r="A478" s="1"/>
      <c r="B478" s="1"/>
      <c r="C478" s="2"/>
      <c r="D478" s="1"/>
      <c r="E478" s="1"/>
      <c r="F478" s="3"/>
      <c r="G478" s="4"/>
      <c r="H478" s="5"/>
      <c r="I478" s="6"/>
      <c r="J478" s="41"/>
      <c r="K478" s="41"/>
      <c r="L478" s="41"/>
      <c r="M478" s="41"/>
      <c r="N478" s="41"/>
      <c r="O478" s="50"/>
      <c r="P478" s="50"/>
      <c r="Q478" s="50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0"/>
      <c r="AY478" s="1"/>
      <c r="AZ478" s="1"/>
      <c r="BA478" s="11"/>
      <c r="BB478" s="11"/>
    </row>
    <row r="479" spans="1:54" x14ac:dyDescent="0.15">
      <c r="A479" s="1"/>
      <c r="B479" s="1"/>
      <c r="C479" s="2"/>
      <c r="D479" s="1"/>
      <c r="E479" s="1"/>
      <c r="F479" s="3"/>
      <c r="G479" s="4"/>
      <c r="H479" s="5"/>
      <c r="I479" s="6"/>
      <c r="J479" s="41"/>
      <c r="K479" s="41"/>
      <c r="L479" s="41"/>
      <c r="M479" s="41"/>
      <c r="N479" s="41"/>
      <c r="O479" s="50"/>
      <c r="P479" s="50"/>
      <c r="Q479" s="50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0"/>
      <c r="AY479" s="1"/>
      <c r="AZ479" s="1"/>
      <c r="BA479" s="11"/>
      <c r="BB479" s="11"/>
    </row>
    <row r="480" spans="1:54" x14ac:dyDescent="0.15">
      <c r="A480" s="1"/>
      <c r="B480" s="1"/>
      <c r="C480" s="2"/>
      <c r="D480" s="1"/>
      <c r="E480" s="1"/>
      <c r="F480" s="3"/>
      <c r="G480" s="4"/>
      <c r="H480" s="5"/>
      <c r="I480" s="6"/>
      <c r="J480" s="41"/>
      <c r="K480" s="41"/>
      <c r="L480" s="41"/>
      <c r="M480" s="41"/>
      <c r="N480" s="41"/>
      <c r="O480" s="50"/>
      <c r="P480" s="50"/>
      <c r="Q480" s="50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0"/>
      <c r="AY480" s="1"/>
      <c r="AZ480" s="1"/>
      <c r="BA480" s="11"/>
      <c r="BB480" s="11"/>
    </row>
    <row r="481" spans="1:54" x14ac:dyDescent="0.15">
      <c r="A481" s="1"/>
      <c r="B481" s="1"/>
      <c r="C481" s="2"/>
      <c r="D481" s="1"/>
      <c r="E481" s="1"/>
      <c r="F481" s="3"/>
      <c r="G481" s="4"/>
      <c r="H481" s="5"/>
      <c r="I481" s="6"/>
      <c r="J481" s="41"/>
      <c r="K481" s="41"/>
      <c r="L481" s="41"/>
      <c r="M481" s="41"/>
      <c r="N481" s="41"/>
      <c r="O481" s="50"/>
      <c r="P481" s="50"/>
      <c r="Q481" s="50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0"/>
      <c r="AY481" s="1"/>
      <c r="AZ481" s="1"/>
      <c r="BA481" s="11"/>
      <c r="BB481" s="11"/>
    </row>
    <row r="482" spans="1:54" x14ac:dyDescent="0.15">
      <c r="A482" s="1"/>
      <c r="B482" s="1"/>
      <c r="C482" s="2"/>
      <c r="D482" s="1"/>
      <c r="E482" s="1"/>
      <c r="F482" s="3"/>
      <c r="G482" s="4"/>
      <c r="H482" s="5"/>
      <c r="I482" s="6"/>
      <c r="J482" s="41"/>
      <c r="K482" s="41"/>
      <c r="L482" s="41"/>
      <c r="M482" s="41"/>
      <c r="N482" s="41"/>
      <c r="O482" s="50"/>
      <c r="P482" s="50"/>
      <c r="Q482" s="50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0"/>
      <c r="AY482" s="1"/>
      <c r="AZ482" s="1"/>
      <c r="BA482" s="11"/>
      <c r="BB482" s="11"/>
    </row>
    <row r="483" spans="1:54" x14ac:dyDescent="0.15">
      <c r="A483" s="1"/>
      <c r="B483" s="1"/>
      <c r="C483" s="2"/>
      <c r="D483" s="1"/>
      <c r="E483" s="1"/>
      <c r="F483" s="3"/>
      <c r="G483" s="4"/>
      <c r="H483" s="5"/>
      <c r="I483" s="6"/>
      <c r="J483" s="41"/>
      <c r="K483" s="41"/>
      <c r="L483" s="41"/>
      <c r="M483" s="41"/>
      <c r="N483" s="41"/>
      <c r="O483" s="50"/>
      <c r="P483" s="50"/>
      <c r="Q483" s="50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0"/>
      <c r="AY483" s="1"/>
      <c r="AZ483" s="1"/>
      <c r="BA483" s="11"/>
      <c r="BB483" s="11"/>
    </row>
    <row r="484" spans="1:54" x14ac:dyDescent="0.15">
      <c r="A484" s="1"/>
      <c r="B484" s="1"/>
      <c r="C484" s="2"/>
      <c r="D484" s="1"/>
      <c r="E484" s="1"/>
      <c r="F484" s="3"/>
      <c r="G484" s="4"/>
      <c r="H484" s="5"/>
      <c r="I484" s="6"/>
      <c r="J484" s="41"/>
      <c r="K484" s="41"/>
      <c r="L484" s="41"/>
      <c r="M484" s="41"/>
      <c r="N484" s="41"/>
      <c r="O484" s="50"/>
      <c r="P484" s="50"/>
      <c r="Q484" s="50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0"/>
      <c r="AY484" s="1"/>
      <c r="AZ484" s="1"/>
      <c r="BA484" s="11"/>
      <c r="BB484" s="11"/>
    </row>
    <row r="485" spans="1:54" x14ac:dyDescent="0.15">
      <c r="A485" s="1"/>
      <c r="B485" s="1"/>
      <c r="C485" s="2"/>
      <c r="D485" s="1"/>
      <c r="E485" s="1"/>
      <c r="F485" s="3"/>
      <c r="G485" s="4"/>
      <c r="H485" s="5"/>
      <c r="I485" s="6"/>
      <c r="J485" s="41"/>
      <c r="K485" s="41"/>
      <c r="L485" s="41"/>
      <c r="M485" s="41"/>
      <c r="N485" s="41"/>
      <c r="O485" s="50"/>
      <c r="P485" s="50"/>
      <c r="Q485" s="50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0"/>
      <c r="AY485" s="1"/>
      <c r="AZ485" s="1"/>
      <c r="BA485" s="11"/>
      <c r="BB485" s="11"/>
    </row>
    <row r="486" spans="1:54" x14ac:dyDescent="0.15">
      <c r="A486" s="1"/>
      <c r="B486" s="1"/>
      <c r="C486" s="2"/>
      <c r="D486" s="1"/>
      <c r="E486" s="1"/>
      <c r="F486" s="3"/>
      <c r="G486" s="4"/>
      <c r="H486" s="5"/>
      <c r="I486" s="6"/>
      <c r="J486" s="41"/>
      <c r="K486" s="41"/>
      <c r="L486" s="41"/>
      <c r="M486" s="41"/>
      <c r="N486" s="41"/>
      <c r="O486" s="50"/>
      <c r="P486" s="50"/>
      <c r="Q486" s="50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0"/>
      <c r="AY486" s="1"/>
      <c r="AZ486" s="1"/>
      <c r="BA486" s="11"/>
      <c r="BB486" s="11"/>
    </row>
    <row r="487" spans="1:54" x14ac:dyDescent="0.15">
      <c r="A487" s="1"/>
      <c r="B487" s="1"/>
      <c r="C487" s="2"/>
      <c r="D487" s="1"/>
      <c r="E487" s="1"/>
      <c r="F487" s="3"/>
      <c r="G487" s="4"/>
      <c r="H487" s="5"/>
      <c r="I487" s="6"/>
      <c r="J487" s="41"/>
      <c r="K487" s="41"/>
      <c r="L487" s="41"/>
      <c r="M487" s="41"/>
      <c r="N487" s="41"/>
      <c r="O487" s="50"/>
      <c r="P487" s="50"/>
      <c r="Q487" s="50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0"/>
      <c r="AY487" s="1"/>
      <c r="AZ487" s="1"/>
      <c r="BA487" s="11"/>
      <c r="BB487" s="11"/>
    </row>
    <row r="488" spans="1:54" x14ac:dyDescent="0.15">
      <c r="A488" s="1"/>
      <c r="B488" s="1"/>
      <c r="C488" s="2"/>
      <c r="D488" s="1"/>
      <c r="E488" s="1"/>
      <c r="F488" s="3"/>
      <c r="G488" s="4"/>
      <c r="H488" s="5"/>
      <c r="I488" s="6"/>
      <c r="J488" s="41"/>
      <c r="K488" s="41"/>
      <c r="L488" s="41"/>
      <c r="M488" s="41"/>
      <c r="N488" s="41"/>
      <c r="O488" s="50"/>
      <c r="P488" s="50"/>
      <c r="Q488" s="50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0"/>
      <c r="AY488" s="1"/>
      <c r="AZ488" s="1"/>
      <c r="BA488" s="11"/>
      <c r="BB488" s="11"/>
    </row>
    <row r="489" spans="1:54" x14ac:dyDescent="0.15">
      <c r="A489" s="1"/>
      <c r="B489" s="1"/>
      <c r="C489" s="2"/>
      <c r="D489" s="1"/>
      <c r="E489" s="1"/>
      <c r="F489" s="3"/>
      <c r="G489" s="4"/>
      <c r="H489" s="5"/>
      <c r="I489" s="6"/>
      <c r="J489" s="41"/>
      <c r="K489" s="41"/>
      <c r="L489" s="41"/>
      <c r="M489" s="41"/>
      <c r="N489" s="41"/>
      <c r="O489" s="50"/>
      <c r="P489" s="50"/>
      <c r="Q489" s="50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0"/>
      <c r="AY489" s="1"/>
      <c r="AZ489" s="1"/>
      <c r="BA489" s="11"/>
      <c r="BB489" s="11"/>
    </row>
    <row r="490" spans="1:54" x14ac:dyDescent="0.15">
      <c r="A490" s="1"/>
      <c r="B490" s="1"/>
      <c r="C490" s="2"/>
      <c r="D490" s="1"/>
      <c r="E490" s="1"/>
      <c r="F490" s="3"/>
      <c r="G490" s="4"/>
      <c r="H490" s="5"/>
      <c r="I490" s="6"/>
      <c r="J490" s="41"/>
      <c r="K490" s="41"/>
      <c r="L490" s="41"/>
      <c r="M490" s="41"/>
      <c r="N490" s="41"/>
      <c r="O490" s="50"/>
      <c r="P490" s="50"/>
      <c r="Q490" s="50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0"/>
      <c r="AY490" s="1"/>
      <c r="AZ490" s="1"/>
      <c r="BA490" s="11"/>
      <c r="BB490" s="11"/>
    </row>
  </sheetData>
  <mergeCells count="21">
    <mergeCell ref="G2:G3"/>
    <mergeCell ref="A16:A18"/>
    <mergeCell ref="C16:C18"/>
    <mergeCell ref="C19:C20"/>
    <mergeCell ref="A21:A22"/>
    <mergeCell ref="C21:C22"/>
    <mergeCell ref="A4:A6"/>
    <mergeCell ref="C4:C6"/>
    <mergeCell ref="A7:A8"/>
    <mergeCell ref="C7:C8"/>
    <mergeCell ref="C9:C14"/>
    <mergeCell ref="P2:AT2"/>
    <mergeCell ref="J1:N1"/>
    <mergeCell ref="O1:Q1"/>
    <mergeCell ref="C2:C3"/>
    <mergeCell ref="D2:D3"/>
    <mergeCell ref="E2:E3"/>
    <mergeCell ref="F2:F3"/>
    <mergeCell ref="H2:H3"/>
    <mergeCell ref="I2:I3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2026-10-20T11:32:56Z</dcterms:created>
  <dcterms:modified xsi:type="dcterms:W3CDTF">2026-10-20T11:53:38Z</dcterms:modified>
</cp:coreProperties>
</file>