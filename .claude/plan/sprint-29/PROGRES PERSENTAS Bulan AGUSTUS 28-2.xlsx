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showInkAnnotation="0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59728E7F-92ED-8549-94BC-EE4F422042F9}" xr6:coauthVersionLast="47" xr6:coauthVersionMax="47" xr10:uidLastSave="{00000000-0000-0000-0000-000000000000}"/>
  <bookViews>
    <workbookView xWindow="0" yWindow="500" windowWidth="20500" windowHeight="16800" xr2:uid="{00000000-000D-0000-FFFF-FFFF00000000}"/>
  </bookViews>
  <sheets>
    <sheet name="RUMAH PAK BINSAR " sheetId="7" r:id="rId1"/>
  </sheets>
  <definedNames>
    <definedName name="_xlnm.Print_Area" localSheetId="0">'RUMAH PAK BINSAR '!$B$3:$N$19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7" l="1"/>
  <c r="P17" i="7"/>
  <c r="O18" i="7"/>
  <c r="O17" i="7"/>
  <c r="O7" i="7" l="1"/>
  <c r="O8" i="7"/>
  <c r="O9" i="7"/>
  <c r="O10" i="7"/>
  <c r="O11" i="7"/>
  <c r="O6" i="7"/>
  <c r="N7" i="7"/>
  <c r="N8" i="7"/>
  <c r="N9" i="7"/>
  <c r="N10" i="7"/>
  <c r="N11" i="7"/>
  <c r="N6" i="7"/>
  <c r="I12" i="7" l="1"/>
  <c r="P12" i="7" s="1"/>
  <c r="I19" i="7"/>
  <c r="Q19" i="7" s="1"/>
  <c r="O19" i="7" l="1"/>
  <c r="T7" i="7" s="1"/>
  <c r="N12" i="7"/>
  <c r="T6" i="7" s="1"/>
</calcChain>
</file>

<file path=xl/sharedStrings.xml><?xml version="1.0" encoding="utf-8"?>
<sst xmlns="http://schemas.openxmlformats.org/spreadsheetml/2006/main" count="79" uniqueCount="51">
  <si>
    <t>N0</t>
  </si>
  <si>
    <t xml:space="preserve">URAIAN PEKERJAAN </t>
  </si>
  <si>
    <t xml:space="preserve">UKURAN </t>
  </si>
  <si>
    <t xml:space="preserve">VOLUME </t>
  </si>
  <si>
    <t xml:space="preserve">SATUAN </t>
  </si>
  <si>
    <t>VENDOR</t>
  </si>
  <si>
    <t>SKORE</t>
  </si>
  <si>
    <t>CEK 1</t>
  </si>
  <si>
    <t>CEK 2</t>
  </si>
  <si>
    <t>CEK 3</t>
  </si>
  <si>
    <t xml:space="preserve">SKORE AKHIR </t>
  </si>
  <si>
    <t>PRESENTASI</t>
  </si>
  <si>
    <t>NO</t>
  </si>
  <si>
    <t>URAIAN PEKERJAAN</t>
  </si>
  <si>
    <t>PERSENTASI</t>
  </si>
  <si>
    <t>START PTOJECT</t>
  </si>
  <si>
    <t>P</t>
  </si>
  <si>
    <t>T</t>
  </si>
  <si>
    <t>1.</t>
  </si>
  <si>
    <t>M</t>
  </si>
  <si>
    <t xml:space="preserve">2. </t>
  </si>
  <si>
    <t>2.</t>
  </si>
  <si>
    <t>M/LARI</t>
  </si>
  <si>
    <t>3.</t>
  </si>
  <si>
    <t>4.</t>
  </si>
  <si>
    <t>5.</t>
  </si>
  <si>
    <t>DEADLINE</t>
  </si>
  <si>
    <t>YUSUF</t>
  </si>
  <si>
    <t>PUTRA</t>
  </si>
  <si>
    <t xml:space="preserve">PUTRA </t>
  </si>
  <si>
    <t xml:space="preserve">10 JULI </t>
  </si>
  <si>
    <t xml:space="preserve">PEK. KABINET BAWAH </t>
  </si>
  <si>
    <t xml:space="preserve">PEK. KABINET ATAS KANAN </t>
  </si>
  <si>
    <t xml:space="preserve">PEK. KABINET ATAS KIRI </t>
  </si>
  <si>
    <t xml:space="preserve">PEK. COVER KULKAS </t>
  </si>
  <si>
    <t xml:space="preserve">PEK. COVER ATAS HPL </t>
  </si>
  <si>
    <t xml:space="preserve">PEK. MEJA BAR </t>
  </si>
  <si>
    <t xml:space="preserve">PEK KABINET BAWAH </t>
  </si>
  <si>
    <t xml:space="preserve">PEK. KABINET ATAS </t>
  </si>
  <si>
    <t xml:space="preserve">RUMAH PAK BINSAR </t>
  </si>
  <si>
    <t xml:space="preserve">RUMAH PAK BINSAR INTERIOR DAPUR KOTOR </t>
  </si>
  <si>
    <t xml:space="preserve">RUMAH PAK BINSAR  INTERIOR DAPUR BERSIH </t>
  </si>
  <si>
    <t xml:space="preserve">YUSUF </t>
  </si>
  <si>
    <t>I24:I25</t>
  </si>
  <si>
    <t>02 JULI 2026</t>
  </si>
  <si>
    <t>18 JULI 2026</t>
  </si>
  <si>
    <t xml:space="preserve">03 JULI </t>
  </si>
  <si>
    <t xml:space="preserve">14 AGUSTUS </t>
  </si>
  <si>
    <t>CEK 4</t>
  </si>
  <si>
    <t xml:space="preserve">CEK 5 </t>
  </si>
  <si>
    <t>28 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</si>
</sst>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3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" fillId="4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5" xfId="0" applyNumberFormat="1" applyBorder="1"/>
    <xf numFmtId="0" fontId="1" fillId="4" borderId="5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0" fontId="0" fillId="5" borderId="5" xfId="0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V24"/>
  <sheetViews>
    <sheetView tabSelected="1" zoomScaleNormal="100" workbookViewId="0">
      <selection activeCell="F34" sqref="F34"/>
    </sheetView>
  </sheetViews>
  <sheetFormatPr baseColWidth="10" defaultColWidth="8.83203125" defaultRowHeight="15" x14ac:dyDescent="0.2"/>
  <cols>
    <col min="3" max="3" width="39.83203125" customWidth="1"/>
    <col min="13" max="13" width="9.33203125" customWidth="1"/>
    <col min="14" max="14" width="10.83203125" customWidth="1"/>
    <col min="15" max="15" width="13.33203125" customWidth="1"/>
    <col min="19" max="19" width="10.5" customWidth="1"/>
    <col min="20" max="20" width="12.33203125" customWidth="1"/>
    <col min="21" max="21" width="13.33203125" customWidth="1"/>
  </cols>
  <sheetData>
    <row r="3" spans="1:22" s="1" customFormat="1" x14ac:dyDescent="0.2">
      <c r="B3" s="1" t="s">
        <v>41</v>
      </c>
      <c r="J3" s="1" t="s">
        <v>46</v>
      </c>
      <c r="K3" s="1" t="s">
        <v>30</v>
      </c>
      <c r="L3" s="1" t="s">
        <v>47</v>
      </c>
      <c r="Q3" s="1" t="s">
        <v>39</v>
      </c>
    </row>
    <row r="4" spans="1:22" x14ac:dyDescent="0.2">
      <c r="B4" s="31" t="s">
        <v>0</v>
      </c>
      <c r="C4" s="31" t="s">
        <v>1</v>
      </c>
      <c r="D4" s="32" t="s">
        <v>2</v>
      </c>
      <c r="E4" s="33"/>
      <c r="F4" s="31" t="s">
        <v>3</v>
      </c>
      <c r="G4" s="31" t="s">
        <v>4</v>
      </c>
      <c r="H4" s="31" t="s">
        <v>5</v>
      </c>
      <c r="I4" s="31" t="s">
        <v>6</v>
      </c>
      <c r="J4" s="31" t="s">
        <v>7</v>
      </c>
      <c r="K4" s="31" t="s">
        <v>8</v>
      </c>
      <c r="L4" s="31" t="s">
        <v>9</v>
      </c>
      <c r="M4" s="31" t="s">
        <v>48</v>
      </c>
      <c r="N4" s="31" t="s">
        <v>10</v>
      </c>
      <c r="O4" s="31" t="s">
        <v>11</v>
      </c>
      <c r="R4" s="35" t="s">
        <v>12</v>
      </c>
      <c r="S4" s="35" t="s">
        <v>13</v>
      </c>
      <c r="T4" s="31" t="s">
        <v>14</v>
      </c>
      <c r="U4" s="31" t="s">
        <v>15</v>
      </c>
      <c r="V4" s="31" t="s">
        <v>26</v>
      </c>
    </row>
    <row r="5" spans="1:22" x14ac:dyDescent="0.2">
      <c r="B5" s="28"/>
      <c r="C5" s="28"/>
      <c r="D5" s="2" t="s">
        <v>16</v>
      </c>
      <c r="E5" s="2" t="s">
        <v>17</v>
      </c>
      <c r="F5" s="28"/>
      <c r="G5" s="28"/>
      <c r="H5" s="28"/>
      <c r="I5" s="28"/>
      <c r="J5" s="28"/>
      <c r="K5" s="28"/>
      <c r="L5" s="28"/>
      <c r="M5" s="28"/>
      <c r="N5" s="28"/>
      <c r="O5" s="28"/>
      <c r="R5" s="36"/>
      <c r="S5" s="36"/>
      <c r="T5" s="28"/>
      <c r="U5" s="28"/>
      <c r="V5" s="28"/>
    </row>
    <row r="6" spans="1:22" x14ac:dyDescent="0.2">
      <c r="B6" s="11" t="s">
        <v>18</v>
      </c>
      <c r="C6" s="3" t="s">
        <v>31</v>
      </c>
      <c r="D6" s="4">
        <v>3.16</v>
      </c>
      <c r="E6" s="4">
        <v>0.83</v>
      </c>
      <c r="F6" s="5">
        <v>3.16</v>
      </c>
      <c r="G6" s="5" t="s">
        <v>22</v>
      </c>
      <c r="H6" s="29" t="s">
        <v>28</v>
      </c>
      <c r="I6" s="5">
        <v>10.42</v>
      </c>
      <c r="J6" s="5"/>
      <c r="K6" s="5"/>
      <c r="L6" s="5">
        <v>65</v>
      </c>
      <c r="M6" s="5">
        <v>5</v>
      </c>
      <c r="N6" s="8">
        <f>SUM(J6:M6)*I6/100</f>
        <v>7.2939999999999996</v>
      </c>
      <c r="O6" s="5">
        <f>SUM(J6:M6)</f>
        <v>70</v>
      </c>
      <c r="R6" s="6" t="s">
        <v>18</v>
      </c>
      <c r="S6" s="9" t="s">
        <v>29</v>
      </c>
      <c r="T6" s="13">
        <f>P12*N12</f>
        <v>69.478352692713855</v>
      </c>
      <c r="U6" s="7" t="s">
        <v>44</v>
      </c>
      <c r="V6" s="7" t="s">
        <v>45</v>
      </c>
    </row>
    <row r="7" spans="1:22" x14ac:dyDescent="0.2">
      <c r="B7" s="29" t="s">
        <v>21</v>
      </c>
      <c r="C7" s="3" t="s">
        <v>32</v>
      </c>
      <c r="D7" s="4">
        <v>1.4</v>
      </c>
      <c r="E7" s="4">
        <v>1.75</v>
      </c>
      <c r="F7" s="5">
        <v>2.4500000000000002</v>
      </c>
      <c r="G7" s="5" t="s">
        <v>19</v>
      </c>
      <c r="H7" s="30"/>
      <c r="I7" s="5">
        <v>6.98</v>
      </c>
      <c r="J7" s="5">
        <v>45</v>
      </c>
      <c r="K7" s="5">
        <v>20</v>
      </c>
      <c r="L7" s="5">
        <v>5</v>
      </c>
      <c r="M7" s="5"/>
      <c r="N7" s="8">
        <f t="shared" ref="N7:N11" si="0">SUM(J7:M7)*I7/100</f>
        <v>4.8860000000000001</v>
      </c>
      <c r="O7" s="5">
        <f t="shared" ref="O7:O11" si="1">SUM(J7:M7)</f>
        <v>70</v>
      </c>
      <c r="R7" s="8" t="s">
        <v>20</v>
      </c>
      <c r="S7" s="9" t="s">
        <v>42</v>
      </c>
      <c r="T7" s="13">
        <f>Q19*O19</f>
        <v>87.140766040497681</v>
      </c>
      <c r="U7" s="26" t="s">
        <v>44</v>
      </c>
      <c r="V7" s="9"/>
    </row>
    <row r="8" spans="1:22" x14ac:dyDescent="0.2">
      <c r="B8" s="34"/>
      <c r="C8" s="3" t="s">
        <v>33</v>
      </c>
      <c r="D8" s="4">
        <v>0.71</v>
      </c>
      <c r="E8" s="4">
        <v>1.75</v>
      </c>
      <c r="F8" s="5">
        <v>1.75</v>
      </c>
      <c r="G8" s="5" t="s">
        <v>22</v>
      </c>
      <c r="H8" s="30"/>
      <c r="I8" s="5">
        <v>4.9800000000000004</v>
      </c>
      <c r="J8" s="5">
        <v>40</v>
      </c>
      <c r="K8" s="5">
        <v>25</v>
      </c>
      <c r="L8" s="5">
        <v>5</v>
      </c>
      <c r="M8" s="5"/>
      <c r="N8" s="8">
        <f t="shared" si="0"/>
        <v>3.4860000000000002</v>
      </c>
      <c r="O8" s="5">
        <f t="shared" si="1"/>
        <v>70</v>
      </c>
      <c r="R8" s="12"/>
    </row>
    <row r="9" spans="1:22" x14ac:dyDescent="0.2">
      <c r="B9" s="7" t="s">
        <v>23</v>
      </c>
      <c r="C9" s="14" t="s">
        <v>34</v>
      </c>
      <c r="D9" s="4">
        <v>1.25</v>
      </c>
      <c r="E9" s="4">
        <v>3.4</v>
      </c>
      <c r="F9" s="5">
        <v>4.25</v>
      </c>
      <c r="G9" s="5" t="s">
        <v>19</v>
      </c>
      <c r="H9" s="30"/>
      <c r="I9" s="5">
        <v>12.11</v>
      </c>
      <c r="J9" s="5"/>
      <c r="K9" s="5"/>
      <c r="L9" s="5">
        <v>50</v>
      </c>
      <c r="M9" s="5">
        <v>20</v>
      </c>
      <c r="N9" s="8">
        <f t="shared" si="0"/>
        <v>8.4769999999999985</v>
      </c>
      <c r="O9" s="5">
        <f t="shared" si="1"/>
        <v>70</v>
      </c>
    </row>
    <row r="10" spans="1:22" x14ac:dyDescent="0.2">
      <c r="B10" s="7" t="s">
        <v>24</v>
      </c>
      <c r="C10" s="14" t="s">
        <v>35</v>
      </c>
      <c r="D10" s="4">
        <v>1</v>
      </c>
      <c r="E10" s="4">
        <v>4.4000000000000004</v>
      </c>
      <c r="F10" s="5">
        <v>4.4000000000000004</v>
      </c>
      <c r="G10" s="5" t="s">
        <v>19</v>
      </c>
      <c r="H10" s="30"/>
      <c r="I10" s="5">
        <v>7.92</v>
      </c>
      <c r="J10" s="5"/>
      <c r="K10" s="5">
        <v>40</v>
      </c>
      <c r="L10" s="5">
        <v>10</v>
      </c>
      <c r="M10" s="5">
        <v>20</v>
      </c>
      <c r="N10" s="8">
        <f t="shared" si="0"/>
        <v>5.5439999999999996</v>
      </c>
      <c r="O10" s="5">
        <f t="shared" si="1"/>
        <v>70</v>
      </c>
    </row>
    <row r="11" spans="1:22" x14ac:dyDescent="0.2">
      <c r="B11" s="7" t="s">
        <v>25</v>
      </c>
      <c r="C11" s="14" t="s">
        <v>36</v>
      </c>
      <c r="D11" s="4">
        <v>1.3</v>
      </c>
      <c r="E11" s="4">
        <v>0.9</v>
      </c>
      <c r="F11" s="5">
        <v>1.3</v>
      </c>
      <c r="G11" s="5" t="s">
        <v>22</v>
      </c>
      <c r="H11" s="30"/>
      <c r="I11" s="5">
        <v>4.9400000000000004</v>
      </c>
      <c r="J11" s="5"/>
      <c r="K11" s="5"/>
      <c r="L11" s="5">
        <v>45</v>
      </c>
      <c r="M11" s="5">
        <v>20</v>
      </c>
      <c r="N11" s="8">
        <f t="shared" si="0"/>
        <v>3.2110000000000003</v>
      </c>
      <c r="O11" s="5">
        <f t="shared" si="1"/>
        <v>65</v>
      </c>
    </row>
    <row r="12" spans="1:22" x14ac:dyDescent="0.2">
      <c r="B12" s="18"/>
      <c r="C12" s="31"/>
      <c r="D12" s="31"/>
      <c r="E12" s="31"/>
      <c r="F12" s="31"/>
      <c r="G12" s="31"/>
      <c r="H12" s="31"/>
      <c r="I12" s="19">
        <f>SUM(I6:I11)</f>
        <v>47.349999999999994</v>
      </c>
      <c r="J12" s="45"/>
      <c r="K12" s="45"/>
      <c r="L12" s="45"/>
      <c r="M12" s="19"/>
      <c r="N12" s="18">
        <f>SUM(N6:N11)</f>
        <v>32.898000000000003</v>
      </c>
      <c r="O12" s="18"/>
      <c r="P12">
        <f>100/I12</f>
        <v>2.1119324181626191</v>
      </c>
    </row>
    <row r="13" spans="1:22" x14ac:dyDescent="0.2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2"/>
    </row>
    <row r="14" spans="1:22" s="1" customFormat="1" x14ac:dyDescent="0.2">
      <c r="A14" s="23"/>
      <c r="B14" s="1" t="s">
        <v>40</v>
      </c>
      <c r="D14" s="24"/>
      <c r="E14" s="24"/>
      <c r="F14" s="24"/>
      <c r="G14" s="24"/>
      <c r="H14" s="24"/>
      <c r="I14" s="24"/>
      <c r="J14" s="24" t="s">
        <v>46</v>
      </c>
      <c r="K14" s="24" t="s">
        <v>30</v>
      </c>
      <c r="L14" s="24" t="s">
        <v>47</v>
      </c>
      <c r="M14" s="24"/>
      <c r="N14" s="25" t="s">
        <v>50</v>
      </c>
    </row>
    <row r="15" spans="1:22" ht="15" customHeight="1" x14ac:dyDescent="0.2">
      <c r="B15" s="37" t="s">
        <v>0</v>
      </c>
      <c r="C15" s="37" t="s">
        <v>1</v>
      </c>
      <c r="D15" s="43" t="s">
        <v>2</v>
      </c>
      <c r="E15" s="44"/>
      <c r="F15" s="37" t="s">
        <v>3</v>
      </c>
      <c r="G15" s="37" t="s">
        <v>4</v>
      </c>
      <c r="H15" s="37" t="s">
        <v>5</v>
      </c>
      <c r="I15" s="37" t="s">
        <v>6</v>
      </c>
      <c r="J15" s="37" t="s">
        <v>7</v>
      </c>
      <c r="K15" s="37" t="s">
        <v>8</v>
      </c>
      <c r="L15" s="37" t="s">
        <v>9</v>
      </c>
      <c r="M15" s="31" t="s">
        <v>48</v>
      </c>
      <c r="N15" s="31" t="s">
        <v>49</v>
      </c>
      <c r="O15" s="37" t="s">
        <v>10</v>
      </c>
      <c r="P15" s="37" t="s">
        <v>11</v>
      </c>
    </row>
    <row r="16" spans="1:22" x14ac:dyDescent="0.2">
      <c r="B16" s="28"/>
      <c r="C16" s="28"/>
      <c r="D16" s="2" t="s">
        <v>16</v>
      </c>
      <c r="E16" s="2" t="s">
        <v>17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2:17" x14ac:dyDescent="0.2">
      <c r="B17" s="7" t="s">
        <v>18</v>
      </c>
      <c r="C17" s="14" t="s">
        <v>37</v>
      </c>
      <c r="D17" s="4">
        <v>4.5</v>
      </c>
      <c r="E17" s="4">
        <v>0.8</v>
      </c>
      <c r="F17" s="5">
        <v>4.5</v>
      </c>
      <c r="G17" s="5" t="s">
        <v>22</v>
      </c>
      <c r="H17" s="41" t="s">
        <v>27</v>
      </c>
      <c r="I17" s="5">
        <v>17.55</v>
      </c>
      <c r="J17" s="5"/>
      <c r="K17" s="5"/>
      <c r="L17" s="5"/>
      <c r="M17" s="5">
        <v>55</v>
      </c>
      <c r="N17" s="5">
        <v>35</v>
      </c>
      <c r="O17" s="8">
        <f>SUM(J17:N17)*I17/100</f>
        <v>15.795</v>
      </c>
      <c r="P17" s="5">
        <f>SUM(J17:N17)</f>
        <v>90</v>
      </c>
    </row>
    <row r="18" spans="2:17" x14ac:dyDescent="0.2">
      <c r="B18" s="11" t="s">
        <v>21</v>
      </c>
      <c r="C18" s="16" t="s">
        <v>38</v>
      </c>
      <c r="D18" s="15">
        <v>4.7</v>
      </c>
      <c r="E18" s="15">
        <v>1.75</v>
      </c>
      <c r="F18" s="10">
        <v>8.23</v>
      </c>
      <c r="G18" s="10" t="s">
        <v>19</v>
      </c>
      <c r="H18" s="42"/>
      <c r="I18" s="10">
        <v>23.44</v>
      </c>
      <c r="J18" s="10"/>
      <c r="K18" s="10">
        <v>45</v>
      </c>
      <c r="L18" s="10">
        <v>20</v>
      </c>
      <c r="M18" s="10">
        <v>5</v>
      </c>
      <c r="N18" s="10">
        <v>15</v>
      </c>
      <c r="O18" s="8">
        <f>SUM(J18:N18)*I18/100</f>
        <v>19.923999999999999</v>
      </c>
      <c r="P18" s="5">
        <f>SUM(J18:N18)</f>
        <v>85</v>
      </c>
    </row>
    <row r="19" spans="2:17" x14ac:dyDescent="0.2">
      <c r="B19" s="17"/>
      <c r="C19" s="17"/>
      <c r="D19" s="38"/>
      <c r="E19" s="39"/>
      <c r="F19" s="39"/>
      <c r="G19" s="39"/>
      <c r="H19" s="40"/>
      <c r="I19" s="17">
        <f>SUM(I17:I18)</f>
        <v>40.99</v>
      </c>
      <c r="J19" s="38"/>
      <c r="K19" s="39"/>
      <c r="L19" s="40"/>
      <c r="M19" s="27"/>
      <c r="N19" s="27"/>
      <c r="O19" s="17">
        <f>SUM(O17:O18)</f>
        <v>35.719000000000001</v>
      </c>
      <c r="P19" s="17"/>
      <c r="Q19">
        <f>100/I19</f>
        <v>2.4396194193705782</v>
      </c>
    </row>
    <row r="24" spans="2:17" x14ac:dyDescent="0.2">
      <c r="I24" t="s">
        <v>43</v>
      </c>
    </row>
  </sheetData>
  <mergeCells count="39">
    <mergeCell ref="U4:U5"/>
    <mergeCell ref="V4:V5"/>
    <mergeCell ref="J12:L12"/>
    <mergeCell ref="B7:B8"/>
    <mergeCell ref="R4:R5"/>
    <mergeCell ref="S4:S5"/>
    <mergeCell ref="T4:T5"/>
    <mergeCell ref="B4:B5"/>
    <mergeCell ref="D4:E4"/>
    <mergeCell ref="F4:F5"/>
    <mergeCell ref="H6:H11"/>
    <mergeCell ref="C12:H12"/>
    <mergeCell ref="J4:J5"/>
    <mergeCell ref="K4:K5"/>
    <mergeCell ref="L4:L5"/>
    <mergeCell ref="N4:N5"/>
    <mergeCell ref="O4:O5"/>
    <mergeCell ref="C4:C5"/>
    <mergeCell ref="G4:G5"/>
    <mergeCell ref="H4:H5"/>
    <mergeCell ref="I4:I5"/>
    <mergeCell ref="M4:M5"/>
    <mergeCell ref="B15:B16"/>
    <mergeCell ref="C15:C16"/>
    <mergeCell ref="D15:E15"/>
    <mergeCell ref="F15:F16"/>
    <mergeCell ref="G15:G16"/>
    <mergeCell ref="D19:H19"/>
    <mergeCell ref="J19:L19"/>
    <mergeCell ref="H17:H18"/>
    <mergeCell ref="O15:O16"/>
    <mergeCell ref="P15:P16"/>
    <mergeCell ref="H15:H16"/>
    <mergeCell ref="I15:I16"/>
    <mergeCell ref="J15:J16"/>
    <mergeCell ref="K15:K16"/>
    <mergeCell ref="L15:L16"/>
    <mergeCell ref="M15:M16"/>
    <mergeCell ref="N15:N16"/>
  </mergeCells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RUMAH PAK BINSAR </vt:lpstr>
      <vt:lpstr>'RUMAH PAK BINSAR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2026-08-03T03:50:45Z</cp:lastPrinted>
  <dcterms:created xsi:type="dcterms:W3CDTF">2026-06-11T08:02:06Z</dcterms:created>
  <dcterms:modified xsi:type="dcterms:W3CDTF">2026-10-20T11:56:54Z</dcterms:modified>
</cp:coreProperties>
</file>