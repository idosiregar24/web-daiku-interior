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PROJEK NEW/JUNI/"/>
    </mc:Choice>
  </mc:AlternateContent>
  <xr:revisionPtr revIDLastSave="0" documentId="13_ncr:1_{947F198F-8230-214F-B787-9A9B3606AD66}" xr6:coauthVersionLast="47" xr6:coauthVersionMax="47" xr10:uidLastSave="{00000000-0000-0000-0000-000000000000}"/>
  <bookViews>
    <workbookView xWindow="3740" yWindow="500" windowWidth="21880" windowHeight="16820" xr2:uid="{645F85C7-7BCF-4BBF-BFB8-D85C26A100AB}"/>
  </bookViews>
  <sheets>
    <sheet name="RUMAH BANG BINSAR (3)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4" l="1"/>
  <c r="K39" i="14"/>
  <c r="K40" i="14"/>
  <c r="K41" i="14"/>
  <c r="K42" i="14"/>
  <c r="K43" i="14"/>
  <c r="K44" i="14"/>
  <c r="K45" i="14"/>
  <c r="K46" i="14"/>
  <c r="K47" i="14"/>
  <c r="K37" i="14"/>
  <c r="H48" i="14"/>
  <c r="E47" i="14"/>
  <c r="H47" i="14" s="1"/>
  <c r="E46" i="14"/>
  <c r="H46" i="14" s="1"/>
  <c r="E45" i="14"/>
  <c r="H45" i="14" s="1"/>
  <c r="H44" i="14"/>
  <c r="H43" i="14"/>
  <c r="E42" i="14"/>
  <c r="H42" i="14" s="1"/>
  <c r="H41" i="14"/>
  <c r="E40" i="14"/>
  <c r="H40" i="14" s="1"/>
  <c r="E39" i="14"/>
  <c r="H39" i="14" s="1"/>
  <c r="H38" i="14"/>
  <c r="E37" i="14"/>
  <c r="H37" i="14" s="1"/>
  <c r="K48" i="14" l="1"/>
  <c r="I17" i="14"/>
  <c r="H28" i="14"/>
  <c r="H26" i="14"/>
  <c r="V24" i="14"/>
  <c r="H24" i="14"/>
  <c r="V23" i="14"/>
  <c r="H23" i="14"/>
  <c r="V22" i="14"/>
  <c r="H22" i="14"/>
  <c r="E21" i="14"/>
  <c r="E20" i="14"/>
  <c r="E19" i="14"/>
  <c r="V18" i="14"/>
  <c r="E17" i="14"/>
  <c r="E16" i="14"/>
  <c r="E15" i="14"/>
  <c r="V14" i="14"/>
  <c r="H14" i="14"/>
  <c r="V13" i="14"/>
  <c r="H13" i="14"/>
  <c r="E12" i="14"/>
  <c r="V11" i="14"/>
  <c r="H11" i="14"/>
  <c r="E10" i="14"/>
  <c r="E9" i="14"/>
  <c r="V8" i="14"/>
  <c r="H8" i="14"/>
  <c r="E7" i="14"/>
  <c r="H20" i="14" l="1"/>
  <c r="H19" i="14"/>
  <c r="V17" i="14"/>
  <c r="H17" i="14"/>
  <c r="H16" i="14"/>
  <c r="V21" i="14"/>
  <c r="H21" i="14"/>
  <c r="V20" i="14"/>
  <c r="V19" i="14"/>
  <c r="V16" i="14"/>
  <c r="V15" i="14"/>
  <c r="H15" i="14"/>
  <c r="V12" i="14"/>
  <c r="H12" i="14"/>
  <c r="V10" i="14"/>
  <c r="H10" i="14"/>
  <c r="V9" i="14"/>
  <c r="H9" i="14"/>
  <c r="V7" i="14"/>
  <c r="V25" i="14" s="1"/>
  <c r="V26" i="14" s="1"/>
  <c r="H7" i="14"/>
  <c r="H25" i="14" s="1"/>
</calcChain>
</file>

<file path=xl/sharedStrings.xml><?xml version="1.0" encoding="utf-8"?>
<sst xmlns="http://schemas.openxmlformats.org/spreadsheetml/2006/main" count="114" uniqueCount="37">
  <si>
    <t>NO</t>
  </si>
  <si>
    <t>SATUAN</t>
  </si>
  <si>
    <t>P</t>
  </si>
  <si>
    <t>ITEM PEKERJAAN</t>
  </si>
  <si>
    <t>DIMENSI</t>
  </si>
  <si>
    <t>HARGA (Rp)</t>
  </si>
  <si>
    <t>SUBTOTAL (Rp)</t>
  </si>
  <si>
    <t>TOTAL (Rp)</t>
  </si>
  <si>
    <t>T/L</t>
  </si>
  <si>
    <t>VOLUME/ LUAS/ JUMLAH</t>
  </si>
  <si>
    <t>M/LARI</t>
  </si>
  <si>
    <t>M²</t>
  </si>
  <si>
    <t xml:space="preserve">LAMPU LED </t>
  </si>
  <si>
    <t>-</t>
  </si>
  <si>
    <t>TITIK</t>
  </si>
  <si>
    <t>POWER SUPLAY</t>
  </si>
  <si>
    <t>PEMBULATAN (Rp)</t>
  </si>
  <si>
    <t>RUMAH BANG BINSAR SIHOMBING</t>
  </si>
  <si>
    <t>PEKERJAAN INTERIOR DAPUR BERSIH</t>
  </si>
  <si>
    <t>PEK. KABINET BAWAH</t>
  </si>
  <si>
    <t>RAK PIRING BAWAH</t>
  </si>
  <si>
    <t>UNIT</t>
  </si>
  <si>
    <t>PEK. KABINET ATAS KANAN</t>
  </si>
  <si>
    <t>PEK. KABINET ATAS KIRI</t>
  </si>
  <si>
    <t>RAK PIRING ATAS</t>
  </si>
  <si>
    <t>PEK. COVER ATAS HPL</t>
  </si>
  <si>
    <t>PEK. COVER KULKAS</t>
  </si>
  <si>
    <t>PEK. MEJA BAR</t>
  </si>
  <si>
    <t>PEKERJAAN INTERIOR DAPUR KOTOR</t>
  </si>
  <si>
    <t>PEK. KABINET ATAS</t>
  </si>
  <si>
    <t xml:space="preserve">SAKLAR </t>
  </si>
  <si>
    <t>SAKLAR</t>
  </si>
  <si>
    <t>DISKON (Rp)</t>
  </si>
  <si>
    <t>DP 30% (Rp)</t>
  </si>
  <si>
    <t>Putra</t>
  </si>
  <si>
    <t xml:space="preserve">UPAH </t>
  </si>
  <si>
    <t>SATUAN UPAH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</si>
</sst>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2" fontId="1" fillId="0" borderId="0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3" fontId="4" fillId="2" borderId="0" xfId="0" applyNumberFormat="1" applyFont="1" applyFill="1" applyAlignment="1">
      <alignment horizontal="right"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2" fontId="1" fillId="4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FFE5-018F-46FF-A46F-A30C79254F62}">
  <dimension ref="A2:V48"/>
  <sheetViews>
    <sheetView tabSelected="1" topLeftCell="A27" zoomScale="130" zoomScaleNormal="130" workbookViewId="0">
      <selection activeCell="H49" sqref="H49"/>
    </sheetView>
  </sheetViews>
  <sheetFormatPr baseColWidth="10" defaultColWidth="9.1640625" defaultRowHeight="15" customHeight="1" x14ac:dyDescent="0.2"/>
  <cols>
    <col min="1" max="1" width="5.6640625" style="6" customWidth="1"/>
    <col min="2" max="2" width="30.6640625" style="5" customWidth="1"/>
    <col min="3" max="4" width="5.6640625" style="5" customWidth="1"/>
    <col min="5" max="5" width="10.6640625" style="1" customWidth="1"/>
    <col min="6" max="6" width="10.6640625" style="6" customWidth="1"/>
    <col min="7" max="16" width="10.6640625" style="5" customWidth="1"/>
    <col min="17" max="17" width="9.1640625" style="5"/>
    <col min="18" max="18" width="14" style="5" customWidth="1"/>
    <col min="19" max="19" width="19.83203125" style="5" customWidth="1"/>
    <col min="20" max="20" width="9.1640625" style="5"/>
    <col min="21" max="22" width="10.6640625" style="5" customWidth="1"/>
    <col min="23" max="16384" width="9.1640625" style="5"/>
  </cols>
  <sheetData>
    <row r="2" spans="1:22" ht="15" customHeight="1" x14ac:dyDescent="0.2">
      <c r="A2" s="22" t="s">
        <v>17</v>
      </c>
      <c r="B2" s="22"/>
      <c r="C2" s="22"/>
      <c r="D2" s="22"/>
      <c r="E2" s="22"/>
      <c r="F2" s="22"/>
      <c r="G2" s="22"/>
      <c r="H2" s="22"/>
      <c r="I2" s="11"/>
      <c r="J2" s="11"/>
      <c r="K2" s="11"/>
      <c r="L2" s="11"/>
      <c r="M2" s="11"/>
      <c r="N2" s="11"/>
      <c r="O2" s="11"/>
      <c r="P2" s="11"/>
    </row>
    <row r="3" spans="1:22" ht="15" customHeight="1" x14ac:dyDescent="0.2">
      <c r="A3" s="23"/>
      <c r="B3" s="23"/>
      <c r="C3" s="23"/>
      <c r="D3" s="23"/>
      <c r="E3" s="23"/>
      <c r="F3" s="23"/>
      <c r="G3" s="23"/>
      <c r="H3" s="23"/>
      <c r="I3" s="11"/>
      <c r="J3" s="11"/>
      <c r="K3" s="11"/>
      <c r="L3" s="11"/>
      <c r="M3" s="11"/>
      <c r="N3" s="11"/>
      <c r="O3" s="11"/>
      <c r="P3" s="11"/>
    </row>
    <row r="4" spans="1:22" ht="15" customHeight="1" x14ac:dyDescent="0.2">
      <c r="A4" s="24" t="s">
        <v>0</v>
      </c>
      <c r="B4" s="24" t="s">
        <v>3</v>
      </c>
      <c r="C4" s="24" t="s">
        <v>4</v>
      </c>
      <c r="D4" s="24"/>
      <c r="E4" s="25" t="s">
        <v>9</v>
      </c>
      <c r="F4" s="24" t="s">
        <v>1</v>
      </c>
      <c r="G4" s="24" t="s">
        <v>5</v>
      </c>
      <c r="H4" s="24" t="s">
        <v>6</v>
      </c>
      <c r="I4" s="13"/>
      <c r="J4" s="13"/>
      <c r="K4" s="13"/>
      <c r="L4" s="13"/>
      <c r="M4" s="13"/>
      <c r="N4" s="13"/>
      <c r="O4" s="13"/>
      <c r="P4" s="13"/>
      <c r="U4" s="24" t="s">
        <v>5</v>
      </c>
      <c r="V4" s="24" t="s">
        <v>6</v>
      </c>
    </row>
    <row r="5" spans="1:22" ht="15" customHeight="1" x14ac:dyDescent="0.2">
      <c r="A5" s="24"/>
      <c r="B5" s="24"/>
      <c r="C5" s="9" t="s">
        <v>2</v>
      </c>
      <c r="D5" s="9" t="s">
        <v>8</v>
      </c>
      <c r="E5" s="25"/>
      <c r="F5" s="24"/>
      <c r="G5" s="24"/>
      <c r="H5" s="24"/>
      <c r="I5" s="13"/>
      <c r="J5" s="13"/>
      <c r="K5" s="13"/>
      <c r="L5" s="13"/>
      <c r="M5" s="13"/>
      <c r="N5" s="13"/>
      <c r="O5" s="13"/>
      <c r="P5" s="13"/>
      <c r="U5" s="24"/>
      <c r="V5" s="24"/>
    </row>
    <row r="6" spans="1:22" ht="15" customHeight="1" x14ac:dyDescent="0.2">
      <c r="A6" s="29" t="s">
        <v>18</v>
      </c>
      <c r="B6" s="30"/>
      <c r="C6" s="30"/>
      <c r="D6" s="30"/>
      <c r="E6" s="30"/>
      <c r="F6" s="30"/>
      <c r="G6" s="30"/>
      <c r="H6" s="31"/>
      <c r="I6" s="14"/>
      <c r="J6" s="14"/>
      <c r="K6" s="14"/>
      <c r="L6" s="14"/>
      <c r="M6" s="14"/>
      <c r="N6" s="14"/>
      <c r="O6" s="14"/>
      <c r="P6" s="14"/>
    </row>
    <row r="7" spans="1:22" ht="15" customHeight="1" x14ac:dyDescent="0.2">
      <c r="A7" s="26">
        <v>1</v>
      </c>
      <c r="B7" s="2" t="s">
        <v>19</v>
      </c>
      <c r="C7" s="8">
        <v>3.16</v>
      </c>
      <c r="D7" s="8">
        <v>0.83</v>
      </c>
      <c r="E7" s="10">
        <f>C7</f>
        <v>3.16</v>
      </c>
      <c r="F7" s="7" t="s">
        <v>10</v>
      </c>
      <c r="G7" s="3">
        <v>3300000</v>
      </c>
      <c r="H7" s="3">
        <f t="shared" ref="H7:H24" si="0">E7*G7</f>
        <v>10428000</v>
      </c>
      <c r="I7" s="12"/>
      <c r="J7" s="12"/>
      <c r="K7" s="12"/>
      <c r="L7" s="12"/>
      <c r="M7" s="12"/>
      <c r="N7" s="12"/>
      <c r="O7" s="12"/>
      <c r="P7" s="12"/>
      <c r="U7" s="3">
        <v>3300000</v>
      </c>
      <c r="V7" s="3">
        <f>E7*U7</f>
        <v>10428000</v>
      </c>
    </row>
    <row r="8" spans="1:22" ht="15" customHeight="1" x14ac:dyDescent="0.2">
      <c r="A8" s="27"/>
      <c r="B8" s="2" t="s">
        <v>20</v>
      </c>
      <c r="C8" s="8" t="s">
        <v>13</v>
      </c>
      <c r="D8" s="8" t="s">
        <v>13</v>
      </c>
      <c r="E8" s="10">
        <v>1</v>
      </c>
      <c r="F8" s="7" t="s">
        <v>21</v>
      </c>
      <c r="G8" s="3">
        <v>850000</v>
      </c>
      <c r="H8" s="3">
        <f t="shared" si="0"/>
        <v>850000</v>
      </c>
      <c r="I8" s="12"/>
      <c r="J8" s="12"/>
      <c r="K8" s="12"/>
      <c r="L8" s="12"/>
      <c r="M8" s="12"/>
      <c r="N8" s="12"/>
      <c r="O8" s="12"/>
      <c r="P8" s="12"/>
      <c r="U8" s="3">
        <v>850000</v>
      </c>
      <c r="V8" s="3">
        <f t="shared" ref="V8:V24" si="1">E8*U8</f>
        <v>850000</v>
      </c>
    </row>
    <row r="9" spans="1:22" ht="15" customHeight="1" x14ac:dyDescent="0.2">
      <c r="A9" s="26">
        <v>2</v>
      </c>
      <c r="B9" s="2" t="s">
        <v>22</v>
      </c>
      <c r="C9" s="8">
        <v>1.4</v>
      </c>
      <c r="D9" s="8">
        <v>1.75</v>
      </c>
      <c r="E9" s="10">
        <f>C9*D9</f>
        <v>2.4499999999999997</v>
      </c>
      <c r="F9" s="7" t="s">
        <v>11</v>
      </c>
      <c r="G9" s="3">
        <v>2850000</v>
      </c>
      <c r="H9" s="3">
        <f t="shared" si="0"/>
        <v>6982499.9999999991</v>
      </c>
      <c r="I9" s="12"/>
      <c r="J9" s="12"/>
      <c r="K9" s="12"/>
      <c r="L9" s="12"/>
      <c r="M9" s="12"/>
      <c r="N9" s="12"/>
      <c r="O9" s="12"/>
      <c r="P9" s="12"/>
      <c r="U9" s="3">
        <v>2800000</v>
      </c>
      <c r="V9" s="3">
        <f t="shared" si="1"/>
        <v>6859999.9999999991</v>
      </c>
    </row>
    <row r="10" spans="1:22" ht="15" customHeight="1" x14ac:dyDescent="0.2">
      <c r="A10" s="27"/>
      <c r="B10" s="2" t="s">
        <v>23</v>
      </c>
      <c r="C10" s="8">
        <v>0.71</v>
      </c>
      <c r="D10" s="8">
        <v>1.75</v>
      </c>
      <c r="E10" s="10">
        <f>D10</f>
        <v>1.75</v>
      </c>
      <c r="F10" s="7" t="s">
        <v>10</v>
      </c>
      <c r="G10" s="3">
        <v>2850000</v>
      </c>
      <c r="H10" s="3">
        <f t="shared" si="0"/>
        <v>4987500</v>
      </c>
      <c r="I10" s="12"/>
      <c r="J10" s="12"/>
      <c r="K10" s="12"/>
      <c r="L10" s="12"/>
      <c r="M10" s="12"/>
      <c r="N10" s="12"/>
      <c r="O10" s="12"/>
      <c r="P10" s="12"/>
      <c r="U10" s="3">
        <v>2800000</v>
      </c>
      <c r="V10" s="3">
        <f t="shared" si="1"/>
        <v>4900000</v>
      </c>
    </row>
    <row r="11" spans="1:22" ht="15" customHeight="1" x14ac:dyDescent="0.2">
      <c r="A11" s="27"/>
      <c r="B11" s="2" t="s">
        <v>24</v>
      </c>
      <c r="C11" s="8" t="s">
        <v>13</v>
      </c>
      <c r="D11" s="8" t="s">
        <v>13</v>
      </c>
      <c r="E11" s="10">
        <v>1</v>
      </c>
      <c r="F11" s="7" t="s">
        <v>21</v>
      </c>
      <c r="G11" s="3">
        <v>380000</v>
      </c>
      <c r="H11" s="3">
        <f t="shared" si="0"/>
        <v>380000</v>
      </c>
      <c r="I11" s="12"/>
      <c r="J11" s="12"/>
      <c r="K11" s="12"/>
      <c r="L11" s="12"/>
      <c r="M11" s="12"/>
      <c r="N11" s="12"/>
      <c r="O11" s="12"/>
      <c r="P11" s="12"/>
      <c r="U11" s="3">
        <v>380000</v>
      </c>
      <c r="V11" s="3">
        <f t="shared" si="1"/>
        <v>380000</v>
      </c>
    </row>
    <row r="12" spans="1:22" ht="15" customHeight="1" x14ac:dyDescent="0.2">
      <c r="A12" s="27"/>
      <c r="B12" s="2" t="s">
        <v>12</v>
      </c>
      <c r="C12" s="8">
        <v>2</v>
      </c>
      <c r="D12" s="8" t="s">
        <v>13</v>
      </c>
      <c r="E12" s="10">
        <f>C12</f>
        <v>2</v>
      </c>
      <c r="F12" s="7" t="s">
        <v>10</v>
      </c>
      <c r="G12" s="3">
        <v>220000</v>
      </c>
      <c r="H12" s="3">
        <f t="shared" si="0"/>
        <v>440000</v>
      </c>
      <c r="I12" s="12"/>
      <c r="J12" s="12"/>
      <c r="K12" s="12"/>
      <c r="L12" s="12"/>
      <c r="M12" s="12"/>
      <c r="N12" s="12"/>
      <c r="O12" s="12"/>
      <c r="P12" s="12"/>
      <c r="U12" s="3">
        <v>220000</v>
      </c>
      <c r="V12" s="3">
        <f t="shared" si="1"/>
        <v>440000</v>
      </c>
    </row>
    <row r="13" spans="1:22" ht="15" customHeight="1" x14ac:dyDescent="0.2">
      <c r="A13" s="27"/>
      <c r="B13" s="2" t="s">
        <v>15</v>
      </c>
      <c r="C13" s="8" t="s">
        <v>13</v>
      </c>
      <c r="D13" s="8" t="s">
        <v>13</v>
      </c>
      <c r="E13" s="10">
        <v>1</v>
      </c>
      <c r="F13" s="7" t="s">
        <v>21</v>
      </c>
      <c r="G13" s="3">
        <v>280000</v>
      </c>
      <c r="H13" s="3">
        <f t="shared" si="0"/>
        <v>280000</v>
      </c>
      <c r="I13" s="12"/>
      <c r="J13" s="12"/>
      <c r="K13" s="12"/>
      <c r="L13" s="12"/>
      <c r="M13" s="12"/>
      <c r="N13" s="12"/>
      <c r="O13" s="12"/>
      <c r="P13" s="12"/>
      <c r="U13" s="3">
        <v>280000</v>
      </c>
      <c r="V13" s="3">
        <f t="shared" si="1"/>
        <v>280000</v>
      </c>
    </row>
    <row r="14" spans="1:22" ht="15" customHeight="1" x14ac:dyDescent="0.2">
      <c r="A14" s="28"/>
      <c r="B14" s="2" t="s">
        <v>31</v>
      </c>
      <c r="C14" s="8" t="s">
        <v>13</v>
      </c>
      <c r="D14" s="8" t="s">
        <v>13</v>
      </c>
      <c r="E14" s="10">
        <v>1</v>
      </c>
      <c r="F14" s="7" t="s">
        <v>14</v>
      </c>
      <c r="G14" s="3">
        <v>280000</v>
      </c>
      <c r="H14" s="3">
        <f t="shared" si="0"/>
        <v>280000</v>
      </c>
      <c r="I14" s="12"/>
      <c r="J14" s="12"/>
      <c r="K14" s="12"/>
      <c r="L14" s="12"/>
      <c r="M14" s="12"/>
      <c r="N14" s="12"/>
      <c r="O14" s="12"/>
      <c r="P14" s="12"/>
      <c r="U14" s="3">
        <v>280000</v>
      </c>
      <c r="V14" s="3">
        <f t="shared" si="1"/>
        <v>280000</v>
      </c>
    </row>
    <row r="15" spans="1:22" ht="15" customHeight="1" x14ac:dyDescent="0.2">
      <c r="A15" s="8">
        <v>3</v>
      </c>
      <c r="B15" s="2" t="s">
        <v>26</v>
      </c>
      <c r="C15" s="8">
        <v>1.25</v>
      </c>
      <c r="D15" s="8">
        <v>3.4</v>
      </c>
      <c r="E15" s="10">
        <f>C15*D15</f>
        <v>4.25</v>
      </c>
      <c r="F15" s="7" t="s">
        <v>11</v>
      </c>
      <c r="G15" s="3">
        <v>2850000</v>
      </c>
      <c r="H15" s="3">
        <f t="shared" si="0"/>
        <v>12112500</v>
      </c>
      <c r="I15" s="12"/>
      <c r="J15" s="12"/>
      <c r="K15" s="12"/>
      <c r="L15" s="12"/>
      <c r="M15" s="12"/>
      <c r="N15" s="12"/>
      <c r="O15" s="12"/>
      <c r="P15" s="12"/>
      <c r="U15" s="3">
        <v>2800000</v>
      </c>
      <c r="V15" s="3">
        <f t="shared" si="1"/>
        <v>11900000</v>
      </c>
    </row>
    <row r="16" spans="1:22" ht="15" customHeight="1" x14ac:dyDescent="0.2">
      <c r="A16" s="8">
        <v>4</v>
      </c>
      <c r="B16" s="2" t="s">
        <v>25</v>
      </c>
      <c r="C16" s="8">
        <v>1</v>
      </c>
      <c r="D16" s="8">
        <v>4.4000000000000004</v>
      </c>
      <c r="E16" s="10">
        <f>C16*D16</f>
        <v>4.4000000000000004</v>
      </c>
      <c r="F16" s="7" t="s">
        <v>11</v>
      </c>
      <c r="G16" s="3">
        <v>1800000</v>
      </c>
      <c r="H16" s="3">
        <f t="shared" si="0"/>
        <v>7920000.0000000009</v>
      </c>
      <c r="I16" s="12"/>
      <c r="J16" s="12"/>
      <c r="K16" s="12"/>
      <c r="L16" s="12"/>
      <c r="M16" s="12"/>
      <c r="N16" s="12"/>
      <c r="O16" s="12"/>
      <c r="P16" s="12"/>
      <c r="U16" s="3">
        <v>1600000</v>
      </c>
      <c r="V16" s="3">
        <f t="shared" si="1"/>
        <v>7040000.0000000009</v>
      </c>
    </row>
    <row r="17" spans="1:22" ht="15" customHeight="1" x14ac:dyDescent="0.2">
      <c r="A17" s="8">
        <v>5</v>
      </c>
      <c r="B17" s="2" t="s">
        <v>27</v>
      </c>
      <c r="C17" s="8">
        <v>1.3</v>
      </c>
      <c r="D17" s="8">
        <v>0.9</v>
      </c>
      <c r="E17" s="10">
        <f>C17</f>
        <v>1.3</v>
      </c>
      <c r="F17" s="7" t="s">
        <v>10</v>
      </c>
      <c r="G17" s="3">
        <v>3800000</v>
      </c>
      <c r="H17" s="3">
        <f t="shared" si="0"/>
        <v>4940000</v>
      </c>
      <c r="I17" s="12">
        <f>SUM(H7:H17)*0.22</f>
        <v>10912110</v>
      </c>
      <c r="J17" s="12"/>
      <c r="K17" s="12"/>
      <c r="L17" s="12"/>
      <c r="M17" s="12"/>
      <c r="N17" s="12"/>
      <c r="O17" s="12"/>
      <c r="P17" s="12"/>
      <c r="U17" s="3">
        <v>3800000</v>
      </c>
      <c r="V17" s="3">
        <f t="shared" si="1"/>
        <v>4940000</v>
      </c>
    </row>
    <row r="18" spans="1:22" ht="15" customHeight="1" x14ac:dyDescent="0.2">
      <c r="A18" s="29" t="s">
        <v>28</v>
      </c>
      <c r="B18" s="30"/>
      <c r="C18" s="30"/>
      <c r="D18" s="30"/>
      <c r="E18" s="30"/>
      <c r="F18" s="30"/>
      <c r="G18" s="30"/>
      <c r="H18" s="31"/>
      <c r="I18" s="14"/>
      <c r="J18" s="14"/>
      <c r="K18" s="14"/>
      <c r="L18" s="14"/>
      <c r="M18" s="14"/>
      <c r="N18" s="14"/>
      <c r="O18" s="14"/>
      <c r="P18" s="14"/>
      <c r="V18" s="3">
        <f t="shared" si="1"/>
        <v>0</v>
      </c>
    </row>
    <row r="19" spans="1:22" ht="15" customHeight="1" x14ac:dyDescent="0.2">
      <c r="A19" s="8">
        <v>1</v>
      </c>
      <c r="B19" s="2" t="s">
        <v>19</v>
      </c>
      <c r="C19" s="8">
        <v>4.5</v>
      </c>
      <c r="D19" s="8">
        <v>0.8</v>
      </c>
      <c r="E19" s="10">
        <f>C19</f>
        <v>4.5</v>
      </c>
      <c r="F19" s="7" t="s">
        <v>10</v>
      </c>
      <c r="G19" s="3">
        <v>3900000</v>
      </c>
      <c r="H19" s="3">
        <f t="shared" ref="H19:H23" si="2">E19*G19</f>
        <v>17550000</v>
      </c>
      <c r="I19" s="12"/>
      <c r="J19" s="12"/>
      <c r="K19" s="12"/>
      <c r="L19" s="12"/>
      <c r="M19" s="12"/>
      <c r="N19" s="12"/>
      <c r="O19" s="12"/>
      <c r="P19" s="12"/>
      <c r="U19" s="3">
        <v>3800000</v>
      </c>
      <c r="V19" s="3">
        <f t="shared" si="1"/>
        <v>17100000</v>
      </c>
    </row>
    <row r="20" spans="1:22" ht="15" customHeight="1" x14ac:dyDescent="0.2">
      <c r="A20" s="26">
        <v>2</v>
      </c>
      <c r="B20" s="2" t="s">
        <v>29</v>
      </c>
      <c r="C20" s="8">
        <v>4.7</v>
      </c>
      <c r="D20" s="8">
        <v>1.75</v>
      </c>
      <c r="E20" s="10">
        <f>C20*D20</f>
        <v>8.2249999999999996</v>
      </c>
      <c r="F20" s="7" t="s">
        <v>11</v>
      </c>
      <c r="G20" s="3">
        <v>2850000</v>
      </c>
      <c r="H20" s="3">
        <f t="shared" si="2"/>
        <v>23441250</v>
      </c>
      <c r="I20" s="12"/>
      <c r="J20" s="12"/>
      <c r="K20" s="12"/>
      <c r="L20" s="12"/>
      <c r="M20" s="12"/>
      <c r="N20" s="12"/>
      <c r="O20" s="12"/>
      <c r="P20" s="12"/>
      <c r="U20" s="3">
        <v>2800000</v>
      </c>
      <c r="V20" s="3">
        <f t="shared" si="1"/>
        <v>23030000</v>
      </c>
    </row>
    <row r="21" spans="1:22" ht="15" customHeight="1" x14ac:dyDescent="0.2">
      <c r="A21" s="27"/>
      <c r="B21" s="2" t="s">
        <v>12</v>
      </c>
      <c r="C21" s="8">
        <v>18</v>
      </c>
      <c r="D21" s="8" t="s">
        <v>13</v>
      </c>
      <c r="E21" s="10">
        <f>C21</f>
        <v>18</v>
      </c>
      <c r="F21" s="7" t="s">
        <v>10</v>
      </c>
      <c r="G21" s="3">
        <v>220000</v>
      </c>
      <c r="H21" s="3">
        <f t="shared" si="2"/>
        <v>3960000</v>
      </c>
      <c r="I21" s="12"/>
      <c r="J21" s="12"/>
      <c r="K21" s="12"/>
      <c r="L21" s="12"/>
      <c r="M21" s="12"/>
      <c r="N21" s="12"/>
      <c r="O21" s="12"/>
      <c r="P21" s="12"/>
      <c r="U21" s="3">
        <v>220000</v>
      </c>
      <c r="V21" s="3">
        <f t="shared" si="1"/>
        <v>3960000</v>
      </c>
    </row>
    <row r="22" spans="1:22" ht="15" customHeight="1" x14ac:dyDescent="0.2">
      <c r="A22" s="27"/>
      <c r="B22" s="2" t="s">
        <v>15</v>
      </c>
      <c r="C22" s="8" t="s">
        <v>13</v>
      </c>
      <c r="D22" s="8" t="s">
        <v>13</v>
      </c>
      <c r="E22" s="10">
        <v>2</v>
      </c>
      <c r="F22" s="7" t="s">
        <v>21</v>
      </c>
      <c r="G22" s="3">
        <v>280000</v>
      </c>
      <c r="H22" s="3">
        <f t="shared" si="2"/>
        <v>560000</v>
      </c>
      <c r="I22" s="12"/>
      <c r="J22" s="12"/>
      <c r="K22" s="12"/>
      <c r="L22" s="12"/>
      <c r="M22" s="12"/>
      <c r="N22" s="12"/>
      <c r="O22" s="12"/>
      <c r="P22" s="12"/>
      <c r="U22" s="3">
        <v>280000</v>
      </c>
      <c r="V22" s="3">
        <f t="shared" si="1"/>
        <v>560000</v>
      </c>
    </row>
    <row r="23" spans="1:22" ht="15" customHeight="1" x14ac:dyDescent="0.2">
      <c r="A23" s="28"/>
      <c r="B23" s="2" t="s">
        <v>24</v>
      </c>
      <c r="C23" s="8" t="s">
        <v>13</v>
      </c>
      <c r="D23" s="8" t="s">
        <v>13</v>
      </c>
      <c r="E23" s="10">
        <v>1</v>
      </c>
      <c r="F23" s="7" t="s">
        <v>21</v>
      </c>
      <c r="G23" s="3">
        <v>380000</v>
      </c>
      <c r="H23" s="3">
        <f t="shared" si="2"/>
        <v>380000</v>
      </c>
      <c r="I23" s="12"/>
      <c r="J23" s="12"/>
      <c r="K23" s="12"/>
      <c r="L23" s="12"/>
      <c r="M23" s="12"/>
      <c r="N23" s="12"/>
      <c r="O23" s="12"/>
      <c r="P23" s="12"/>
      <c r="U23" s="3">
        <v>380000</v>
      </c>
      <c r="V23" s="3">
        <f t="shared" si="1"/>
        <v>380000</v>
      </c>
    </row>
    <row r="24" spans="1:22" ht="15" customHeight="1" x14ac:dyDescent="0.2">
      <c r="A24" s="8">
        <v>3</v>
      </c>
      <c r="B24" s="2" t="s">
        <v>30</v>
      </c>
      <c r="C24" s="8" t="s">
        <v>13</v>
      </c>
      <c r="D24" s="8" t="s">
        <v>13</v>
      </c>
      <c r="E24" s="10">
        <v>1</v>
      </c>
      <c r="F24" s="7" t="s">
        <v>14</v>
      </c>
      <c r="G24" s="3">
        <v>280000</v>
      </c>
      <c r="H24" s="3">
        <f t="shared" si="0"/>
        <v>280000</v>
      </c>
      <c r="I24" s="12"/>
      <c r="J24" s="12"/>
      <c r="K24" s="12"/>
      <c r="L24" s="12"/>
      <c r="M24" s="12"/>
      <c r="N24" s="12"/>
      <c r="O24" s="12"/>
      <c r="P24" s="12"/>
      <c r="U24" s="3">
        <v>280000</v>
      </c>
      <c r="V24" s="3">
        <f t="shared" si="1"/>
        <v>280000</v>
      </c>
    </row>
    <row r="25" spans="1:22" ht="15" customHeight="1" x14ac:dyDescent="0.2">
      <c r="A25" s="9"/>
      <c r="B25" s="19" t="s">
        <v>7</v>
      </c>
      <c r="C25" s="20"/>
      <c r="D25" s="20"/>
      <c r="E25" s="20"/>
      <c r="F25" s="20"/>
      <c r="G25" s="21"/>
      <c r="H25" s="4">
        <f>SUM(H6:H24)</f>
        <v>95771750</v>
      </c>
      <c r="I25" s="15"/>
      <c r="J25" s="15"/>
      <c r="K25" s="15"/>
      <c r="L25" s="15"/>
      <c r="M25" s="15"/>
      <c r="N25" s="15"/>
      <c r="O25" s="15"/>
      <c r="P25" s="15"/>
      <c r="V25" s="4">
        <f>SUM(V6:V24)</f>
        <v>93608000</v>
      </c>
    </row>
    <row r="26" spans="1:22" ht="15" customHeight="1" x14ac:dyDescent="0.2">
      <c r="A26" s="9"/>
      <c r="B26" s="19" t="s">
        <v>32</v>
      </c>
      <c r="C26" s="20"/>
      <c r="D26" s="20"/>
      <c r="E26" s="20"/>
      <c r="F26" s="20"/>
      <c r="G26" s="21"/>
      <c r="H26" s="4">
        <f>H25-H27</f>
        <v>271750</v>
      </c>
      <c r="I26" s="15"/>
      <c r="J26" s="15"/>
      <c r="K26" s="15"/>
      <c r="L26" s="15"/>
      <c r="M26" s="15"/>
      <c r="N26" s="15"/>
      <c r="O26" s="15"/>
      <c r="P26" s="15"/>
      <c r="V26" s="4">
        <f>V25-V27</f>
        <v>-101392000</v>
      </c>
    </row>
    <row r="27" spans="1:22" ht="15" customHeight="1" x14ac:dyDescent="0.2">
      <c r="A27" s="9"/>
      <c r="B27" s="19" t="s">
        <v>16</v>
      </c>
      <c r="C27" s="20"/>
      <c r="D27" s="20"/>
      <c r="E27" s="20"/>
      <c r="F27" s="20"/>
      <c r="G27" s="21"/>
      <c r="H27" s="4">
        <v>95500000</v>
      </c>
      <c r="I27" s="15"/>
      <c r="J27" s="15"/>
      <c r="K27" s="15"/>
      <c r="L27" s="15"/>
      <c r="M27" s="15"/>
      <c r="N27" s="15"/>
      <c r="O27" s="15"/>
      <c r="P27" s="15"/>
      <c r="V27" s="4">
        <v>195000000</v>
      </c>
    </row>
    <row r="28" spans="1:22" ht="15" customHeight="1" x14ac:dyDescent="0.2">
      <c r="A28" s="9"/>
      <c r="B28" s="19" t="s">
        <v>33</v>
      </c>
      <c r="C28" s="20"/>
      <c r="D28" s="20"/>
      <c r="E28" s="20"/>
      <c r="F28" s="20"/>
      <c r="G28" s="21"/>
      <c r="H28" s="4">
        <f>H27*30%</f>
        <v>28650000</v>
      </c>
    </row>
    <row r="31" spans="1:22" s="17" customFormat="1" ht="15" customHeight="1" x14ac:dyDescent="0.2">
      <c r="A31" s="16"/>
      <c r="B31" s="17" t="s">
        <v>34</v>
      </c>
      <c r="E31" s="18"/>
      <c r="F31" s="16"/>
    </row>
    <row r="34" spans="1:11" ht="15" customHeight="1" x14ac:dyDescent="0.2">
      <c r="A34" s="24" t="s">
        <v>0</v>
      </c>
      <c r="B34" s="24" t="s">
        <v>3</v>
      </c>
      <c r="C34" s="24" t="s">
        <v>4</v>
      </c>
      <c r="D34" s="24"/>
      <c r="E34" s="25" t="s">
        <v>9</v>
      </c>
      <c r="F34" s="24" t="s">
        <v>1</v>
      </c>
      <c r="G34" s="24" t="s">
        <v>5</v>
      </c>
      <c r="H34" s="24" t="s">
        <v>6</v>
      </c>
      <c r="J34" s="24" t="s">
        <v>36</v>
      </c>
      <c r="K34" s="24" t="s">
        <v>6</v>
      </c>
    </row>
    <row r="35" spans="1:11" ht="15" customHeight="1" x14ac:dyDescent="0.2">
      <c r="A35" s="24"/>
      <c r="B35" s="24"/>
      <c r="C35" s="9" t="s">
        <v>2</v>
      </c>
      <c r="D35" s="9" t="s">
        <v>8</v>
      </c>
      <c r="E35" s="25"/>
      <c r="F35" s="24"/>
      <c r="G35" s="24"/>
      <c r="H35" s="24"/>
      <c r="J35" s="24"/>
      <c r="K35" s="24"/>
    </row>
    <row r="36" spans="1:11" ht="15" customHeight="1" x14ac:dyDescent="0.2">
      <c r="A36" s="29" t="s">
        <v>18</v>
      </c>
      <c r="B36" s="30"/>
      <c r="C36" s="30"/>
      <c r="D36" s="30"/>
      <c r="E36" s="30"/>
      <c r="F36" s="30"/>
      <c r="G36" s="30"/>
      <c r="H36" s="31"/>
    </row>
    <row r="37" spans="1:11" ht="15" customHeight="1" x14ac:dyDescent="0.2">
      <c r="A37" s="26">
        <v>1</v>
      </c>
      <c r="B37" s="2" t="s">
        <v>19</v>
      </c>
      <c r="C37" s="8">
        <v>3.16</v>
      </c>
      <c r="D37" s="8">
        <v>0.83</v>
      </c>
      <c r="E37" s="10">
        <f>C37</f>
        <v>3.16</v>
      </c>
      <c r="F37" s="7" t="s">
        <v>10</v>
      </c>
      <c r="G37" s="3">
        <v>3300000</v>
      </c>
      <c r="H37" s="3">
        <f t="shared" ref="H37:H47" si="3">E37*G37</f>
        <v>10428000</v>
      </c>
      <c r="J37" s="3">
        <v>500000</v>
      </c>
      <c r="K37" s="3">
        <f>J37*E37</f>
        <v>1580000</v>
      </c>
    </row>
    <row r="38" spans="1:11" ht="15" customHeight="1" x14ac:dyDescent="0.2">
      <c r="A38" s="27"/>
      <c r="B38" s="2" t="s">
        <v>20</v>
      </c>
      <c r="C38" s="8" t="s">
        <v>13</v>
      </c>
      <c r="D38" s="8" t="s">
        <v>13</v>
      </c>
      <c r="E38" s="10">
        <v>1</v>
      </c>
      <c r="F38" s="7" t="s">
        <v>21</v>
      </c>
      <c r="G38" s="3">
        <v>850000</v>
      </c>
      <c r="H38" s="3">
        <f t="shared" si="3"/>
        <v>850000</v>
      </c>
      <c r="J38" s="3"/>
      <c r="K38" s="3">
        <f t="shared" ref="K38:K47" si="4">J38*E38</f>
        <v>0</v>
      </c>
    </row>
    <row r="39" spans="1:11" ht="15" customHeight="1" x14ac:dyDescent="0.2">
      <c r="A39" s="26">
        <v>2</v>
      </c>
      <c r="B39" s="2" t="s">
        <v>22</v>
      </c>
      <c r="C39" s="8">
        <v>1.4</v>
      </c>
      <c r="D39" s="8">
        <v>1.75</v>
      </c>
      <c r="E39" s="10">
        <f>C39*D39</f>
        <v>2.4499999999999997</v>
      </c>
      <c r="F39" s="7" t="s">
        <v>11</v>
      </c>
      <c r="G39" s="3">
        <v>2850000</v>
      </c>
      <c r="H39" s="3">
        <f t="shared" si="3"/>
        <v>6982499.9999999991</v>
      </c>
      <c r="J39" s="3">
        <v>500000</v>
      </c>
      <c r="K39" s="3">
        <f t="shared" si="4"/>
        <v>1224999.9999999998</v>
      </c>
    </row>
    <row r="40" spans="1:11" ht="15" customHeight="1" x14ac:dyDescent="0.2">
      <c r="A40" s="27"/>
      <c r="B40" s="2" t="s">
        <v>23</v>
      </c>
      <c r="C40" s="8">
        <v>0.71</v>
      </c>
      <c r="D40" s="8">
        <v>1.75</v>
      </c>
      <c r="E40" s="10">
        <f>D40</f>
        <v>1.75</v>
      </c>
      <c r="F40" s="7" t="s">
        <v>10</v>
      </c>
      <c r="G40" s="3">
        <v>2850000</v>
      </c>
      <c r="H40" s="3">
        <f t="shared" si="3"/>
        <v>4987500</v>
      </c>
      <c r="J40" s="3">
        <v>500000</v>
      </c>
      <c r="K40" s="3">
        <f t="shared" si="4"/>
        <v>875000</v>
      </c>
    </row>
    <row r="41" spans="1:11" ht="15" customHeight="1" x14ac:dyDescent="0.2">
      <c r="A41" s="27"/>
      <c r="B41" s="2" t="s">
        <v>24</v>
      </c>
      <c r="C41" s="8" t="s">
        <v>13</v>
      </c>
      <c r="D41" s="8" t="s">
        <v>13</v>
      </c>
      <c r="E41" s="10">
        <v>1</v>
      </c>
      <c r="F41" s="7" t="s">
        <v>21</v>
      </c>
      <c r="G41" s="3">
        <v>380000</v>
      </c>
      <c r="H41" s="3">
        <f t="shared" si="3"/>
        <v>380000</v>
      </c>
      <c r="J41" s="3"/>
      <c r="K41" s="3">
        <f t="shared" si="4"/>
        <v>0</v>
      </c>
    </row>
    <row r="42" spans="1:11" ht="15" customHeight="1" x14ac:dyDescent="0.2">
      <c r="A42" s="27"/>
      <c r="B42" s="2" t="s">
        <v>12</v>
      </c>
      <c r="C42" s="8">
        <v>2</v>
      </c>
      <c r="D42" s="8" t="s">
        <v>13</v>
      </c>
      <c r="E42" s="10">
        <f>C42</f>
        <v>2</v>
      </c>
      <c r="F42" s="7" t="s">
        <v>10</v>
      </c>
      <c r="G42" s="3">
        <v>220000</v>
      </c>
      <c r="H42" s="3">
        <f t="shared" si="3"/>
        <v>440000</v>
      </c>
      <c r="J42" s="3"/>
      <c r="K42" s="3">
        <f t="shared" si="4"/>
        <v>0</v>
      </c>
    </row>
    <row r="43" spans="1:11" ht="15" customHeight="1" x14ac:dyDescent="0.2">
      <c r="A43" s="27"/>
      <c r="B43" s="2" t="s">
        <v>15</v>
      </c>
      <c r="C43" s="8" t="s">
        <v>13</v>
      </c>
      <c r="D43" s="8" t="s">
        <v>13</v>
      </c>
      <c r="E43" s="10">
        <v>1</v>
      </c>
      <c r="F43" s="7" t="s">
        <v>21</v>
      </c>
      <c r="G43" s="3">
        <v>280000</v>
      </c>
      <c r="H43" s="3">
        <f t="shared" si="3"/>
        <v>280000</v>
      </c>
      <c r="J43" s="3"/>
      <c r="K43" s="3">
        <f t="shared" si="4"/>
        <v>0</v>
      </c>
    </row>
    <row r="44" spans="1:11" ht="15" customHeight="1" x14ac:dyDescent="0.2">
      <c r="A44" s="28"/>
      <c r="B44" s="2" t="s">
        <v>31</v>
      </c>
      <c r="C44" s="8" t="s">
        <v>13</v>
      </c>
      <c r="D44" s="8" t="s">
        <v>13</v>
      </c>
      <c r="E44" s="10">
        <v>1</v>
      </c>
      <c r="F44" s="7" t="s">
        <v>14</v>
      </c>
      <c r="G44" s="3">
        <v>280000</v>
      </c>
      <c r="H44" s="3">
        <f t="shared" si="3"/>
        <v>280000</v>
      </c>
      <c r="J44" s="3"/>
      <c r="K44" s="3">
        <f t="shared" si="4"/>
        <v>0</v>
      </c>
    </row>
    <row r="45" spans="1:11" ht="15" customHeight="1" x14ac:dyDescent="0.2">
      <c r="A45" s="8">
        <v>3</v>
      </c>
      <c r="B45" s="2" t="s">
        <v>26</v>
      </c>
      <c r="C45" s="8">
        <v>1.25</v>
      </c>
      <c r="D45" s="8">
        <v>3.4</v>
      </c>
      <c r="E45" s="10">
        <f>C45*D45</f>
        <v>4.25</v>
      </c>
      <c r="F45" s="7" t="s">
        <v>11</v>
      </c>
      <c r="G45" s="3">
        <v>2850000</v>
      </c>
      <c r="H45" s="3">
        <f t="shared" si="3"/>
        <v>12112500</v>
      </c>
      <c r="J45" s="3">
        <v>300000</v>
      </c>
      <c r="K45" s="3">
        <f t="shared" si="4"/>
        <v>1275000</v>
      </c>
    </row>
    <row r="46" spans="1:11" ht="15" customHeight="1" x14ac:dyDescent="0.2">
      <c r="A46" s="8">
        <v>4</v>
      </c>
      <c r="B46" s="2" t="s">
        <v>25</v>
      </c>
      <c r="C46" s="8">
        <v>1</v>
      </c>
      <c r="D46" s="8">
        <v>4.4000000000000004</v>
      </c>
      <c r="E46" s="10">
        <f>C46*D46</f>
        <v>4.4000000000000004</v>
      </c>
      <c r="F46" s="7" t="s">
        <v>11</v>
      </c>
      <c r="G46" s="3">
        <v>1800000</v>
      </c>
      <c r="H46" s="3">
        <f t="shared" si="3"/>
        <v>7920000.0000000009</v>
      </c>
      <c r="J46" s="3">
        <v>300000</v>
      </c>
      <c r="K46" s="3">
        <f t="shared" si="4"/>
        <v>1320000</v>
      </c>
    </row>
    <row r="47" spans="1:11" ht="15" customHeight="1" x14ac:dyDescent="0.2">
      <c r="A47" s="8">
        <v>5</v>
      </c>
      <c r="B47" s="2" t="s">
        <v>27</v>
      </c>
      <c r="C47" s="8">
        <v>1.3</v>
      </c>
      <c r="D47" s="8">
        <v>0.9</v>
      </c>
      <c r="E47" s="10">
        <f>C47</f>
        <v>1.3</v>
      </c>
      <c r="F47" s="7" t="s">
        <v>10</v>
      </c>
      <c r="G47" s="3">
        <v>3800000</v>
      </c>
      <c r="H47" s="3">
        <f t="shared" si="3"/>
        <v>4940000</v>
      </c>
      <c r="J47" s="3">
        <v>1100000</v>
      </c>
      <c r="K47" s="3">
        <f t="shared" si="4"/>
        <v>1430000</v>
      </c>
    </row>
    <row r="48" spans="1:11" ht="15" customHeight="1" x14ac:dyDescent="0.2">
      <c r="A48" s="9"/>
      <c r="B48" s="19" t="s">
        <v>7</v>
      </c>
      <c r="C48" s="20"/>
      <c r="D48" s="20"/>
      <c r="E48" s="20"/>
      <c r="F48" s="20"/>
      <c r="G48" s="21"/>
      <c r="H48" s="4">
        <f>SUM(H29:H47)</f>
        <v>49600500</v>
      </c>
      <c r="J48" s="4" t="s">
        <v>35</v>
      </c>
      <c r="K48" s="4">
        <f t="shared" ref="J48:K48" si="5">SUM(K29:K47)</f>
        <v>7705000</v>
      </c>
    </row>
  </sheetData>
  <mergeCells count="32">
    <mergeCell ref="J34:J35"/>
    <mergeCell ref="K34:K35"/>
    <mergeCell ref="B48:G48"/>
    <mergeCell ref="G34:G35"/>
    <mergeCell ref="H34:H35"/>
    <mergeCell ref="A36:H36"/>
    <mergeCell ref="A37:A38"/>
    <mergeCell ref="A39:A44"/>
    <mergeCell ref="A34:A35"/>
    <mergeCell ref="B34:B35"/>
    <mergeCell ref="C34:D34"/>
    <mergeCell ref="E34:E35"/>
    <mergeCell ref="F34:F35"/>
    <mergeCell ref="V4:V5"/>
    <mergeCell ref="A6:H6"/>
    <mergeCell ref="A7:A8"/>
    <mergeCell ref="A9:A14"/>
    <mergeCell ref="A18:H18"/>
    <mergeCell ref="U4:U5"/>
    <mergeCell ref="B28:G28"/>
    <mergeCell ref="A2:H3"/>
    <mergeCell ref="A4:A5"/>
    <mergeCell ref="B4:B5"/>
    <mergeCell ref="C4:D4"/>
    <mergeCell ref="E4:E5"/>
    <mergeCell ref="F4:F5"/>
    <mergeCell ref="G4:G5"/>
    <mergeCell ref="H4:H5"/>
    <mergeCell ref="B27:G27"/>
    <mergeCell ref="A20:A23"/>
    <mergeCell ref="B25:G25"/>
    <mergeCell ref="B26:G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RUMAH BANG BINSAR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HaHa</dc:creator>
  <cp:lastModifiedBy>user</cp:lastModifiedBy>
  <dcterms:created xsi:type="dcterms:W3CDTF">2024-10-17T09:32:01Z</dcterms:created>
  <dcterms:modified xsi:type="dcterms:W3CDTF">2026-10-20T11:53:36Z</dcterms:modified>
</cp:coreProperties>
</file>